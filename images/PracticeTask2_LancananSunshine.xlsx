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olana\Downloads\"/>
    </mc:Choice>
  </mc:AlternateContent>
  <xr:revisionPtr revIDLastSave="0" documentId="11_532B01B712FF2A96CA0158573EF6670D83D61799" xr6:coauthVersionLast="47" xr6:coauthVersionMax="47" xr10:uidLastSave="{00000000-0000-0000-0000-000000000000}"/>
  <bookViews>
    <workbookView xWindow="-120" yWindow="-120" windowWidth="29040" windowHeight="15720" activeTab="3" xr2:uid="{00000000-000D-0000-FFFF-FFFF00000000}"/>
  </bookViews>
  <sheets>
    <sheet name="Sheet1" sheetId="7" r:id="rId1"/>
    <sheet name="Data" sheetId="1" r:id="rId2"/>
    <sheet name="Analyze" sheetId="5" r:id="rId3"/>
    <sheet name="Dashboard" sheetId="6" r:id="rId4"/>
  </sheets>
  <definedNames>
    <definedName name="NativeTimeline_Invoice_Date">#N/A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9" i="6" l="1"/>
  <c r="I19" i="6"/>
  <c r="H19" i="6"/>
  <c r="E19" i="6"/>
  <c r="C19" i="6"/>
  <c r="D19" i="6"/>
  <c r="J14" i="6"/>
  <c r="J15" i="6"/>
  <c r="J16" i="6"/>
  <c r="J17" i="6"/>
  <c r="J18" i="6"/>
  <c r="J13" i="6"/>
  <c r="I14" i="6"/>
  <c r="I15" i="6"/>
  <c r="I16" i="6"/>
  <c r="I17" i="6"/>
  <c r="I18" i="6"/>
  <c r="I13" i="6"/>
  <c r="H14" i="6"/>
  <c r="H15" i="6"/>
  <c r="H16" i="6"/>
  <c r="H17" i="6"/>
  <c r="H18" i="6"/>
  <c r="H13" i="6"/>
  <c r="E14" i="6"/>
  <c r="E15" i="6"/>
  <c r="E16" i="6"/>
  <c r="E17" i="6"/>
  <c r="E18" i="6"/>
  <c r="E13" i="6"/>
  <c r="D14" i="6"/>
  <c r="D15" i="6"/>
  <c r="D16" i="6"/>
  <c r="D17" i="6"/>
  <c r="D18" i="6"/>
  <c r="D13" i="6"/>
  <c r="C14" i="6"/>
  <c r="C15" i="6"/>
  <c r="C16" i="6"/>
  <c r="C17" i="6"/>
  <c r="C18" i="6"/>
  <c r="C13" i="6"/>
  <c r="F70" i="5"/>
  <c r="G70" i="5"/>
  <c r="H70" i="5"/>
  <c r="F71" i="5"/>
  <c r="G71" i="5"/>
  <c r="H71" i="5"/>
  <c r="F72" i="5"/>
  <c r="G72" i="5"/>
  <c r="H72" i="5"/>
  <c r="G69" i="5"/>
  <c r="H69" i="5"/>
  <c r="F66" i="5"/>
  <c r="G66" i="5"/>
  <c r="H66" i="5"/>
  <c r="F67" i="5"/>
  <c r="G67" i="5"/>
  <c r="H67" i="5"/>
  <c r="F68" i="5"/>
  <c r="G68" i="5"/>
  <c r="H68" i="5"/>
  <c r="G65" i="5"/>
  <c r="H65" i="5"/>
  <c r="F69" i="5"/>
  <c r="F65" i="5"/>
  <c r="E69" i="5"/>
  <c r="E65" i="5"/>
  <c r="C9653" i="1"/>
  <c r="I9653" i="1"/>
  <c r="J9653" i="1"/>
  <c r="K9653" i="1"/>
  <c r="L9653" i="1"/>
  <c r="M9653" i="1"/>
  <c r="K17" i="6" l="1"/>
  <c r="K19" i="6"/>
  <c r="K16" i="6"/>
  <c r="K15" i="6"/>
  <c r="F18" i="6"/>
  <c r="F17" i="6"/>
  <c r="K13" i="6"/>
  <c r="K14" i="6"/>
  <c r="F13" i="6"/>
  <c r="K18" i="6"/>
  <c r="F16" i="6"/>
  <c r="F19" i="6"/>
  <c r="F14" i="6"/>
  <c r="F15" i="6"/>
</calcChain>
</file>

<file path=xl/sharedStrings.xml><?xml version="1.0" encoding="utf-8"?>
<sst xmlns="http://schemas.openxmlformats.org/spreadsheetml/2006/main" count="48323" uniqueCount="163">
  <si>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</si>
  <si>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</si>
  <si>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</si>
  <si>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</si>
  <si>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</si>
  <si>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</si>
  <si>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</si>
  <si>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</si>
  <si>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</si>
  <si>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</si>
  <si>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</si>
  <si>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</si>
  <si>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</si>
  <si>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</si>
  <si>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</si>
  <si>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</si>
  <si>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</si>
  <si>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</si>
  <si>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</si>
  <si>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</si>
  <si>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</si>
  <si>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</si>
  <si>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</si>
  <si>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</si>
  <si>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</si>
  <si>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</si>
  <si>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</si>
  <si>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</si>
  <si>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</si>
  <si>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</si>
  <si>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</si>
  <si>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</si>
  <si>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</si>
  <si>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</si>
  <si>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</si>
  <si>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</si>
  <si>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</si>
  <si>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</si>
  <si>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</si>
  <si>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</si>
  <si>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</si>
  <si>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</si>
  <si>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</si>
  <si>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</si>
  <si>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</si>
  <si>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</si>
  <si>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</si>
  <si>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</si>
  <si>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</si>
  <si>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</si>
  <si>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</si>
  <si>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</si>
  <si>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</si>
  <si>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</si>
  <si>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</si>
  <si>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</si>
  <si>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</si>
  <si>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</si>
  <si>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</si>
  <si>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</si>
  <si>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</si>
  <si>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</si>
  <si>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</si>
  <si>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</si>
  <si>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</si>
  <si>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</si>
  <si>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</si>
  <si>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</si>
  <si>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</si>
  <si>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</si>
  <si>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</si>
  <si>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</si>
  <si>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</si>
  <si>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</si>
  <si>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</si>
  <si>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</si>
  <si>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</si>
  <si>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</si>
  <si>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</si>
  <si>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</si>
  <si>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</si>
  <si>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</si>
  <si>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</si>
  <si>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</si>
  <si>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</si>
  <si>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</si>
  <si>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</si>
  <si>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</si>
  <si>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</si>
  <si>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</si>
  <si>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</si>
  <si>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</si>
  <si>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</si>
  <si>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</si>
  <si>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</si>
  <si>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</si>
  <si>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</si>
  <si>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</si>
  <si>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</si>
  <si>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</si>
  <si>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</si>
  <si>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</si>
  <si>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</si>
  <si>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</si>
  <si>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</si>
  <si>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</si>
  <si>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</si>
  <si>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</si>
  <si>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</si>
  <si>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</si>
  <si>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</si>
  <si>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</si>
  <si>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</si>
  <si>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</si>
  <si>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</si>
  <si>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</si>
  <si>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</si>
  <si>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</si>
  <si>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</si>
  <si>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</si>
  <si>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</si>
  <si>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</si>
  <si>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</si>
  <si>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</si>
  <si>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</si>
  <si>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</si>
  <si>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</si>
  <si>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</si>
  <si>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</si>
  <si>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</si>
  <si>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</si>
  <si>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KPI</t>
  </si>
  <si>
    <t>1. TOTAL SALES</t>
  </si>
  <si>
    <t>2. DISPLAY AVERAGE OPERATING PROFIT</t>
  </si>
  <si>
    <t>3. AVERAGE OPERTATING PROFIT</t>
  </si>
  <si>
    <t>1. SALES PER RETAILER</t>
  </si>
  <si>
    <t>2. SALES PER BEVERAGES</t>
  </si>
  <si>
    <t>3. CREATE CHART VISUALS FOR THE SALES ( RETAILER AND BEVERAGES)</t>
  </si>
  <si>
    <t>Sum of Total Sales</t>
  </si>
  <si>
    <t>Average of Operating Profit</t>
  </si>
  <si>
    <t>Average of Operating Margin</t>
  </si>
  <si>
    <t>Count of Units Sold</t>
  </si>
  <si>
    <t>SALES PER RETAILER</t>
  </si>
  <si>
    <t>Row Labels</t>
  </si>
  <si>
    <t>Grand Total</t>
  </si>
  <si>
    <t>4. TOTAL NUMBER OF SOLD</t>
  </si>
  <si>
    <t>2022</t>
  </si>
  <si>
    <t>Qtr1</t>
  </si>
  <si>
    <t>Qtr2</t>
  </si>
  <si>
    <t>Qtr3</t>
  </si>
  <si>
    <t>Qtr4</t>
  </si>
  <si>
    <t>2023</t>
  </si>
  <si>
    <t>Column Labels</t>
  </si>
  <si>
    <t>OTHER INFO:</t>
  </si>
  <si>
    <t>ANALYSIS GUIDE</t>
  </si>
  <si>
    <t>SALES COMPARISON PER RETAILER (2022-2023)</t>
  </si>
  <si>
    <t>SALES COMPARISON PER BRAND (2022-2023)</t>
  </si>
  <si>
    <t>QUARTERLY SALES AND AVERAGE OPERATION MARGIN PER YEAR</t>
  </si>
  <si>
    <t>Brand</t>
  </si>
  <si>
    <t>Sales 2022</t>
  </si>
  <si>
    <t>Sales 2023</t>
  </si>
  <si>
    <t>Variance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</si>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</sst>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_-* #,##0.00_-;\-* #,##0.00_-;_-* &quot;-&quot;??_-;_-@_-"/>
    <numFmt numFmtId="165" formatCode="_-[$$-409]* #,##0.00_ ;_-[$$-409]* \-#,##0.00\ ;_-[$$-409]* &quot;-&quot;??_ ;_-@_ "/>
  </numFmts>
  <fonts count="17"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theme="1"/>
      <name val="Calibri"/>
      <family val="2"/>
      <scheme val="minor"/>
    </font>
    <font>
      <sz val="12"/>
      <color theme="1"/>
      <name val="Calibri"/>
      <scheme val="minor"/>
    </font>
    <font>
      <b/>
      <sz val="12"/>
      <color theme="1"/>
      <name val="Calibri"/>
      <family val="2"/>
      <scheme val="minor"/>
    </font>
    <font>
      <b/>
      <sz val="12"/>
      <color rgb="FFFF0000"/>
      <name val="Calibri"/>
      <family val="2"/>
      <scheme val="minor"/>
    </font>
    <font>
      <sz val="12"/>
      <color theme="4" tint="-0.249977111117893"/>
      <name val="Calibri"/>
      <family val="2"/>
      <scheme val="minor"/>
    </font>
    <font>
      <sz val="12"/>
      <color theme="0"/>
      <name val="Calibri"/>
      <family val="2"/>
      <scheme val="minor"/>
    </font>
    <font>
      <b/>
      <sz val="10"/>
      <color theme="0"/>
      <name val="Bahnschrift"/>
      <family val="2"/>
    </font>
    <font>
      <sz val="10"/>
      <color theme="0"/>
      <name val="Bahnschrift"/>
      <family val="2"/>
    </font>
    <font>
      <sz val="10"/>
      <color theme="1"/>
      <name val="Calibri"/>
      <family val="2"/>
      <scheme val="minor"/>
    </font>
    <font>
      <sz val="9"/>
      <color theme="1"/>
      <name val="Calibri"/>
      <family val="2"/>
      <scheme val="minor"/>
    </font>
    <font>
      <b/>
      <sz val="10"/>
      <color theme="0"/>
      <name val="Calibri"/>
      <family val="2"/>
      <scheme val="minor"/>
    </font>
    <font>
      <b/>
      <sz val="9"/>
      <color theme="0"/>
      <name val="Calibri"/>
      <family val="2"/>
      <scheme val="minor"/>
    </font>
  </fonts>
  <fills count="6">
    <fill>
      <patternFill patternType="none"/>
    </fill>
    <fill>
      <patternFill patternType="gray125"/>
    </fill>
    <fill>
      <patternFill patternType="solid">
        <fgColor rgb="FF2A3E68"/>
        <bgColor indexed="64"/>
      </patternFill>
    </fill>
    <fill>
      <patternFill patternType="solid">
        <fgColor theme="4" tint="-0.499984740745262"/>
        <bgColor indexed="64"/>
      </patternFill>
    </fill>
    <fill>
      <patternFill patternType="solid">
        <fgColor theme="8" tint="-0.249977111117893"/>
        <bgColor indexed="64"/>
      </patternFill>
    </fill>
    <fill>
      <patternFill patternType="solid">
        <fgColor theme="0"/>
        <bgColor indexed="64"/>
      </patternFill>
    </fill>
  </fills>
  <borders count="11">
    <border>
      <left/>
      <right/>
      <top/>
      <bottom/>
      <diagonal/>
    </border>
    <border>
      <left/>
      <right/>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0" fontId="4" fillId="0" borderId="0" applyNumberFormat="0" applyFill="0" applyBorder="0" applyAlignment="0" applyProtection="0"/>
    <xf numFmtId="164" fontId="5" fillId="0" borderId="0" applyFont="0" applyFill="0" applyBorder="0" applyAlignment="0" applyProtection="0"/>
  </cellStyleXfs>
  <cellXfs count="51">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3" fontId="0" fillId="0" borderId="0" xfId="0" applyNumberFormat="1" applyAlignment="1">
      <alignment horizontal="center"/>
    </xf>
    <xf numFmtId="6"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6" fillId="0" borderId="0" xfId="0" applyFont="1" applyAlignment="1">
      <alignment horizontal="center"/>
    </xf>
    <xf numFmtId="14" fontId="6" fillId="0" borderId="0" xfId="0" applyNumberFormat="1" applyFont="1" applyAlignment="1">
      <alignment horizontal="center"/>
    </xf>
    <xf numFmtId="8" fontId="6" fillId="0" borderId="0" xfId="0" applyNumberFormat="1" applyFont="1" applyAlignment="1">
      <alignment horizontal="center"/>
    </xf>
    <xf numFmtId="3" fontId="6" fillId="0" borderId="0" xfId="0" applyNumberFormat="1" applyFont="1" applyAlignment="1">
      <alignment horizontal="center"/>
    </xf>
    <xf numFmtId="6" fontId="6" fillId="0" borderId="0" xfId="0" applyNumberFormat="1" applyFont="1" applyAlignment="1">
      <alignment horizontal="center"/>
    </xf>
    <xf numFmtId="9" fontId="6" fillId="0" borderId="0" xfId="0" applyNumberFormat="1" applyFont="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5" fontId="0" fillId="0" borderId="0" xfId="0" applyNumberFormat="1"/>
    <xf numFmtId="165" fontId="0" fillId="0" borderId="0" xfId="0" pivotButton="1" applyNumberFormat="1"/>
    <xf numFmtId="165" fontId="0" fillId="0" borderId="0" xfId="0" applyNumberFormat="1" applyAlignment="1">
      <alignment horizontal="left"/>
    </xf>
    <xf numFmtId="165" fontId="0" fillId="0" borderId="0" xfId="0" applyNumberFormat="1" applyAlignment="1">
      <alignment horizontal="left" indent="1"/>
    </xf>
    <xf numFmtId="165" fontId="0" fillId="0" borderId="0" xfId="2" applyNumberFormat="1" applyFont="1"/>
    <xf numFmtId="0" fontId="7" fillId="0" borderId="0" xfId="0" applyFont="1"/>
    <xf numFmtId="165" fontId="7" fillId="0" borderId="0" xfId="2" applyNumberFormat="1" applyFont="1"/>
    <xf numFmtId="165" fontId="8" fillId="0" borderId="0" xfId="0" applyNumberFormat="1" applyFont="1" applyAlignment="1">
      <alignment horizontal="left"/>
    </xf>
    <xf numFmtId="165" fontId="8" fillId="0" borderId="0" xfId="2" applyNumberFormat="1" applyFont="1" applyAlignment="1">
      <alignment horizontal="left"/>
    </xf>
    <xf numFmtId="165" fontId="8" fillId="0" borderId="0" xfId="2" applyNumberFormat="1" applyFont="1"/>
    <xf numFmtId="0" fontId="0" fillId="3" borderId="0" xfId="0" applyFill="1"/>
    <xf numFmtId="0" fontId="10" fillId="0" borderId="0" xfId="0" applyFont="1"/>
    <xf numFmtId="0" fontId="9" fillId="3" borderId="0" xfId="0" applyFont="1" applyFill="1"/>
    <xf numFmtId="0" fontId="9" fillId="3" borderId="0" xfId="0" applyFont="1" applyFill="1" applyAlignment="1">
      <alignment horizontal="center"/>
    </xf>
    <xf numFmtId="0" fontId="11" fillId="4" borderId="0" xfId="0" applyFont="1" applyFill="1" applyAlignment="1">
      <alignment horizontal="center"/>
    </xf>
    <xf numFmtId="0" fontId="12" fillId="4" borderId="0" xfId="0" applyFont="1" applyFill="1" applyAlignment="1">
      <alignment horizontal="center"/>
    </xf>
    <xf numFmtId="0" fontId="13" fillId="0" borderId="0" xfId="0" applyFont="1"/>
    <xf numFmtId="165" fontId="13" fillId="0" borderId="0" xfId="2" applyNumberFormat="1" applyFont="1"/>
    <xf numFmtId="0" fontId="10" fillId="5" borderId="0" xfId="0" applyFont="1" applyFill="1"/>
    <xf numFmtId="165" fontId="14" fillId="0" borderId="0" xfId="0" applyNumberFormat="1" applyFont="1"/>
    <xf numFmtId="165" fontId="14" fillId="0" borderId="0" xfId="2" applyNumberFormat="1" applyFont="1"/>
    <xf numFmtId="0" fontId="15" fillId="4" borderId="0" xfId="0" applyFont="1" applyFill="1"/>
    <xf numFmtId="165" fontId="15" fillId="4" borderId="0" xfId="2" applyNumberFormat="1" applyFont="1" applyFill="1"/>
    <xf numFmtId="165" fontId="15" fillId="4" borderId="0" xfId="0" applyNumberFormat="1" applyFont="1" applyFill="1"/>
    <xf numFmtId="165" fontId="16" fillId="4" borderId="0" xfId="0" applyNumberFormat="1" applyFont="1" applyFill="1"/>
    <xf numFmtId="165" fontId="16" fillId="4" borderId="0" xfId="2" applyNumberFormat="1" applyFont="1" applyFill="1"/>
  </cellXfs>
  <cellStyles count="3">
    <cellStyle name="Comma" xfId="2" builtinId="3"/>
    <cellStyle name="Hyperlink 2" xfId="1" xr:uid="{00000000-0005-0000-0000-000001000000}"/>
    <cellStyle name="Normal" xfId="0" builtinId="0"/>
  </cellStyles>
  <dxfs count="103">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8" formatCode="0.0"/>
    </dxf>
    <dxf>
      <numFmt numFmtId="2" formatCode="0.00"/>
    </dxf>
    <dxf>
      <numFmt numFmtId="166" formatCode="0.000"/>
    </dxf>
    <dxf>
      <numFmt numFmtId="167" formatCode="0.0000"/>
    </dxf>
    <dxf>
      <numFmt numFmtId="166" formatCode="0.00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4" formatCode="_-* #,##0.00_-;\-* #,##0.00_-;_-* &quot;-&quot;??_-;_-@_-"/>
    </dxf>
    <dxf>
      <numFmt numFmtId="164" formatCode="_-* #,##0.00_-;\-* #,##0.00_-;_-* &quot;-&quot;??_-;_-@_-"/>
    </dxf>
    <dxf>
      <numFmt numFmtId="164" formatCode="_-* #,##0.00_-;\-* #,##0.00_-;_-* &quot;-&quot;??_-;_-@_-"/>
    </dxf>
    <dxf>
      <numFmt numFmtId="168" formatCode="0.0"/>
    </dxf>
    <dxf>
      <numFmt numFmtId="2" formatCode="0.00"/>
    </dxf>
    <dxf>
      <numFmt numFmtId="166" formatCode="0.000"/>
    </dxf>
    <dxf>
      <numFmt numFmtId="167" formatCode="0.0000"/>
    </dxf>
    <dxf>
      <numFmt numFmtId="166" formatCode="0.00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4" formatCode="_-* #,##0.00_-;\-* #,##0.00_-;_-* &quot;-&quot;??_-;_-@_-"/>
    </dxf>
    <dxf>
      <numFmt numFmtId="164" formatCode="_-* #,##0.00_-;\-* #,##0.00_-;_-* &quot;-&quot;??_-;_-@_-"/>
    </dxf>
    <dxf>
      <numFmt numFmtId="164" formatCode="_-* #,##0.00_-;\-* #,##0.00_-;_-* &quot;-&quot;??_-;_-@_-"/>
    </dxf>
    <dxf>
      <numFmt numFmtId="168" formatCode="0.0"/>
    </dxf>
    <dxf>
      <numFmt numFmtId="2" formatCode="0.00"/>
    </dxf>
    <dxf>
      <numFmt numFmtId="166" formatCode="0.000"/>
    </dxf>
    <dxf>
      <numFmt numFmtId="167" formatCode="0.0000"/>
    </dxf>
    <dxf>
      <numFmt numFmtId="166" formatCode="0.000"/>
    </dxf>
    <dxf>
      <numFmt numFmtId="165" formatCode="_-[$$-409]* #,##0.00_ ;_-[$$-409]* \-#,##0.00\ ;_-[$$-409]* &quot;-&quot;??_ ;_-@_ "/>
    </dxf>
    <dxf>
      <numFmt numFmtId="168" formatCode="0.0"/>
    </dxf>
    <dxf>
      <numFmt numFmtId="2" formatCode="0.00"/>
    </dxf>
    <dxf>
      <numFmt numFmtId="166" formatCode="0.000"/>
    </dxf>
    <dxf>
      <numFmt numFmtId="167" formatCode="0.0000"/>
    </dxf>
    <dxf>
      <numFmt numFmtId="166" formatCode="0.00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8" formatCode="0.0"/>
    </dxf>
    <dxf>
      <numFmt numFmtId="2" formatCode="0.00"/>
    </dxf>
    <dxf>
      <numFmt numFmtId="166" formatCode="0.000"/>
    </dxf>
    <dxf>
      <numFmt numFmtId="167" formatCode="0.0000"/>
    </dxf>
    <dxf>
      <numFmt numFmtId="166" formatCode="0.000"/>
    </dxf>
    <dxf>
      <numFmt numFmtId="165" formatCode="_-[$$-409]* #,##0.00_ ;_-[$$-409]* \-#,##0.00\ ;_-[$$-409]* &quot;-&quot;??_ ;_-@_ "/>
    </dxf>
    <dxf>
      <numFmt numFmtId="169" formatCode="_-&quot;₱&quot;* #,##0.00_-;\-&quot;₱&quot;* #,##0.00_-;_-&quot;₱&quot;* &quot;-&quot;??_-;_-@_-"/>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4" formatCode="_-* #,##0.00_-;\-* #,##0.00_-;_-* &quot;-&quot;??_-;_-@_-"/>
    </dxf>
    <dxf>
      <numFmt numFmtId="164" formatCode="_-* #,##0.00_-;\-* #,##0.00_-;_-* &quot;-&quot;??_-;_-@_-"/>
    </dxf>
    <dxf>
      <numFmt numFmtId="164" formatCode="_-* #,##0.00_-;\-* #,##0.00_-;_-* &quot;-&quot;??_-;_-@_-"/>
    </dxf>
    <dxf>
      <numFmt numFmtId="168" formatCode="0.0"/>
    </dxf>
    <dxf>
      <numFmt numFmtId="2" formatCode="0.00"/>
    </dxf>
    <dxf>
      <numFmt numFmtId="166" formatCode="0.000"/>
    </dxf>
    <dxf>
      <numFmt numFmtId="167" formatCode="0.0000"/>
    </dxf>
    <dxf>
      <numFmt numFmtId="166" formatCode="0.000"/>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8" formatCode="0.0"/>
    </dxf>
    <dxf>
      <numFmt numFmtId="2" formatCode="0.00"/>
    </dxf>
    <dxf>
      <numFmt numFmtId="166" formatCode="0.000"/>
    </dxf>
    <dxf>
      <numFmt numFmtId="167" formatCode="0.0000"/>
    </dxf>
    <dxf>
      <numFmt numFmtId="166" formatCode="0.000"/>
    </dxf>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70"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70"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Sales and Profit Margin Comparison per year/quater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v>Total Sales</c:v>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Analyze!$E$65:$F$72</c:f>
              <c:multiLvlStrCache>
                <c:ptCount val="8"/>
                <c:lvl>
                  <c:pt idx="0">
                    <c:v> Qtr4 </c:v>
                  </c:pt>
                  <c:pt idx="1">
                    <c:v> 2023 </c:v>
                  </c:pt>
                  <c:pt idx="2">
                    <c:v> Qtr1 </c:v>
                  </c:pt>
                  <c:pt idx="3">
                    <c:v> Qtr2 </c:v>
                  </c:pt>
                  <c:pt idx="4">
                    <c:v> Qtr4 </c:v>
                  </c:pt>
                  <c:pt idx="5">
                    <c:v> $-   </c:v>
                  </c:pt>
                  <c:pt idx="6">
                    <c:v> $-   </c:v>
                  </c:pt>
                  <c:pt idx="7">
                    <c:v> $-   </c:v>
                  </c:pt>
                </c:lvl>
                <c:lvl>
                  <c:pt idx="0">
                    <c:v> 2022 </c:v>
                  </c:pt>
                  <c:pt idx="4">
                    <c:v> Qtr3 </c:v>
                  </c:pt>
                </c:lvl>
              </c:multiLvlStrCache>
            </c:multiLvlStrRef>
          </c:cat>
          <c:val>
            <c:numRef>
              <c:f>Analyze!$G$65:$G$72</c:f>
              <c:numCache>
                <c:formatCode>_-[$$-409]* #,##0.00_ ;_-[$$-409]* \-#,##0.00\ ;_-[$$-409]* "-"??_ ;_-@_ </c:formatCode>
                <c:ptCount val="8"/>
                <c:pt idx="0">
                  <c:v>90391.799999999988</c:v>
                </c:pt>
                <c:pt idx="1">
                  <c:v>0</c:v>
                </c:pt>
                <c:pt idx="2">
                  <c:v>383459.10000000003</c:v>
                </c:pt>
                <c:pt idx="3">
                  <c:v>355718.20000000007</c:v>
                </c:pt>
                <c:pt idx="4">
                  <c:v>354252.3</c:v>
                </c:pt>
                <c:pt idx="5">
                  <c:v>0</c:v>
                </c:pt>
                <c:pt idx="6">
                  <c:v>0</c:v>
                </c:pt>
                <c:pt idx="7">
                  <c:v>0</c:v>
                </c:pt>
              </c:numCache>
            </c:numRef>
          </c:val>
          <c:extLst>
            <c:ext xmlns:c16="http://schemas.microsoft.com/office/drawing/2014/chart" uri="{C3380CC4-5D6E-409C-BE32-E72D297353CC}">
              <c16:uniqueId val="{00000000-F1F2-4953-AE33-3E619C09D2D2}"/>
            </c:ext>
          </c:extLst>
        </c:ser>
        <c:dLbls>
          <c:showLegendKey val="0"/>
          <c:showVal val="0"/>
          <c:showCatName val="0"/>
          <c:showSerName val="0"/>
          <c:showPercent val="0"/>
          <c:showBubbleSize val="0"/>
        </c:dLbls>
        <c:gapWidth val="269"/>
        <c:axId val="241868800"/>
        <c:axId val="241872960"/>
      </c:barChart>
      <c:lineChart>
        <c:grouping val="standard"/>
        <c:varyColors val="0"/>
        <c:ser>
          <c:idx val="1"/>
          <c:order val="1"/>
          <c:tx>
            <c:v>Total Profit</c:v>
          </c:tx>
          <c:spPr>
            <a:ln w="34925" cap="rnd">
              <a:solidFill>
                <a:schemeClr val="accent5">
                  <a:tint val="77000"/>
                </a:schemeClr>
              </a:solidFill>
              <a:round/>
            </a:ln>
            <a:effectLst>
              <a:outerShdw blurRad="57150" dist="19050" dir="5400000" algn="ctr" rotWithShape="0">
                <a:srgbClr val="000000">
                  <a:alpha val="63000"/>
                </a:srgbClr>
              </a:outerShdw>
            </a:effectLst>
          </c:spPr>
          <c:marker>
            <c:symbol val="none"/>
          </c:marker>
          <c:cat>
            <c:multiLvlStrRef>
              <c:f>Analyze!$E$65:$F$72</c:f>
              <c:multiLvlStrCache>
                <c:ptCount val="8"/>
                <c:lvl>
                  <c:pt idx="0">
                    <c:v> Qtr4 </c:v>
                  </c:pt>
                  <c:pt idx="1">
                    <c:v> 2023 </c:v>
                  </c:pt>
                  <c:pt idx="2">
                    <c:v> Qtr1 </c:v>
                  </c:pt>
                  <c:pt idx="3">
                    <c:v> Qtr2 </c:v>
                  </c:pt>
                  <c:pt idx="4">
                    <c:v> Qtr4 </c:v>
                  </c:pt>
                  <c:pt idx="5">
                    <c:v> $-   </c:v>
                  </c:pt>
                  <c:pt idx="6">
                    <c:v> $-   </c:v>
                  </c:pt>
                  <c:pt idx="7">
                    <c:v> $-   </c:v>
                  </c:pt>
                </c:lvl>
                <c:lvl>
                  <c:pt idx="0">
                    <c:v> 2022 </c:v>
                  </c:pt>
                  <c:pt idx="4">
                    <c:v> Qtr3 </c:v>
                  </c:pt>
                </c:lvl>
              </c:multiLvlStrCache>
            </c:multiLvlStrRef>
          </c:cat>
          <c:val>
            <c:numRef>
              <c:f>Analyze!$H$65:$H$72</c:f>
              <c:numCache>
                <c:formatCode>_-[$$-409]* #,##0.00_ ;_-[$$-409]* \-#,##0.00\ ;_-[$$-409]* "-"??_ ;_-@_ </c:formatCode>
                <c:ptCount val="8"/>
                <c:pt idx="0">
                  <c:v>0.40812500000000002</c:v>
                </c:pt>
                <c:pt idx="1">
                  <c:v>0</c:v>
                </c:pt>
                <c:pt idx="2">
                  <c:v>0.4431837606837617</c:v>
                </c:pt>
                <c:pt idx="3">
                  <c:v>0.43741150442477966</c:v>
                </c:pt>
                <c:pt idx="4">
                  <c:v>0.43009259259259203</c:v>
                </c:pt>
                <c:pt idx="5">
                  <c:v>0</c:v>
                </c:pt>
                <c:pt idx="6">
                  <c:v>0</c:v>
                </c:pt>
                <c:pt idx="7">
                  <c:v>0</c:v>
                </c:pt>
              </c:numCache>
            </c:numRef>
          </c:val>
          <c:smooth val="0"/>
          <c:extLst>
            <c:ext xmlns:c16="http://schemas.microsoft.com/office/drawing/2014/chart" uri="{C3380CC4-5D6E-409C-BE32-E72D297353CC}">
              <c16:uniqueId val="{00000001-F1F2-4953-AE33-3E619C09D2D2}"/>
            </c:ext>
          </c:extLst>
        </c:ser>
        <c:dLbls>
          <c:showLegendKey val="0"/>
          <c:showVal val="0"/>
          <c:showCatName val="0"/>
          <c:showSerName val="0"/>
          <c:showPercent val="0"/>
          <c:showBubbleSize val="0"/>
        </c:dLbls>
        <c:marker val="1"/>
        <c:smooth val="0"/>
        <c:axId val="241193792"/>
        <c:axId val="241183808"/>
      </c:lineChart>
      <c:catAx>
        <c:axId val="241868800"/>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1872960"/>
        <c:crosses val="autoZero"/>
        <c:auto val="1"/>
        <c:lblAlgn val="ctr"/>
        <c:lblOffset val="100"/>
        <c:noMultiLvlLbl val="0"/>
      </c:catAx>
      <c:valAx>
        <c:axId val="241872960"/>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1868800"/>
        <c:crosses val="autoZero"/>
        <c:crossBetween val="between"/>
      </c:valAx>
      <c:valAx>
        <c:axId val="241183808"/>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PH"/>
                  <a:t>Average Profit Margin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1193792"/>
        <c:crosses val="max"/>
        <c:crossBetween val="between"/>
      </c:valAx>
      <c:catAx>
        <c:axId val="241193792"/>
        <c:scaling>
          <c:orientation val="minMax"/>
        </c:scaling>
        <c:delete val="1"/>
        <c:axPos val="b"/>
        <c:numFmt formatCode="General" sourceLinked="1"/>
        <c:majorTickMark val="none"/>
        <c:minorTickMark val="none"/>
        <c:tickLblPos val="nextTo"/>
        <c:crossAx val="2411838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Sales and Profit Margin Comparison per year/quater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v>Total Sales</c:v>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Analyze!$E$65:$F$72</c:f>
              <c:multiLvlStrCache>
                <c:ptCount val="8"/>
                <c:lvl>
                  <c:pt idx="0">
                    <c:v> Qtr4 </c:v>
                  </c:pt>
                  <c:pt idx="1">
                    <c:v> 2023 </c:v>
                  </c:pt>
                  <c:pt idx="2">
                    <c:v> Qtr1 </c:v>
                  </c:pt>
                  <c:pt idx="3">
                    <c:v> Qtr2 </c:v>
                  </c:pt>
                  <c:pt idx="4">
                    <c:v> Qtr4 </c:v>
                  </c:pt>
                  <c:pt idx="5">
                    <c:v> $-   </c:v>
                  </c:pt>
                  <c:pt idx="6">
                    <c:v> $-   </c:v>
                  </c:pt>
                  <c:pt idx="7">
                    <c:v> $-   </c:v>
                  </c:pt>
                </c:lvl>
                <c:lvl>
                  <c:pt idx="0">
                    <c:v> 2022 </c:v>
                  </c:pt>
                  <c:pt idx="4">
                    <c:v> Qtr3 </c:v>
                  </c:pt>
                </c:lvl>
              </c:multiLvlStrCache>
            </c:multiLvlStrRef>
          </c:cat>
          <c:val>
            <c:numRef>
              <c:f>Analyze!$G$65:$G$72</c:f>
              <c:numCache>
                <c:formatCode>_-[$$-409]* #,##0.00_ ;_-[$$-409]* \-#,##0.00\ ;_-[$$-409]* "-"??_ ;_-@_ </c:formatCode>
                <c:ptCount val="8"/>
                <c:pt idx="0">
                  <c:v>90391.799999999988</c:v>
                </c:pt>
                <c:pt idx="1">
                  <c:v>0</c:v>
                </c:pt>
                <c:pt idx="2">
                  <c:v>383459.10000000003</c:v>
                </c:pt>
                <c:pt idx="3">
                  <c:v>355718.20000000007</c:v>
                </c:pt>
                <c:pt idx="4">
                  <c:v>354252.3</c:v>
                </c:pt>
                <c:pt idx="5">
                  <c:v>0</c:v>
                </c:pt>
                <c:pt idx="6">
                  <c:v>0</c:v>
                </c:pt>
                <c:pt idx="7">
                  <c:v>0</c:v>
                </c:pt>
              </c:numCache>
            </c:numRef>
          </c:val>
          <c:extLst>
            <c:ext xmlns:c16="http://schemas.microsoft.com/office/drawing/2014/chart" uri="{C3380CC4-5D6E-409C-BE32-E72D297353CC}">
              <c16:uniqueId val="{00000000-0900-4C13-8B2A-7C90260F2D95}"/>
            </c:ext>
          </c:extLst>
        </c:ser>
        <c:dLbls>
          <c:showLegendKey val="0"/>
          <c:showVal val="0"/>
          <c:showCatName val="0"/>
          <c:showSerName val="0"/>
          <c:showPercent val="0"/>
          <c:showBubbleSize val="0"/>
        </c:dLbls>
        <c:gapWidth val="269"/>
        <c:axId val="241868800"/>
        <c:axId val="241872960"/>
      </c:barChart>
      <c:lineChart>
        <c:grouping val="standard"/>
        <c:varyColors val="0"/>
        <c:ser>
          <c:idx val="1"/>
          <c:order val="1"/>
          <c:tx>
            <c:v>Total Profit</c:v>
          </c:tx>
          <c:spPr>
            <a:ln w="34925" cap="rnd">
              <a:solidFill>
                <a:schemeClr val="accent5">
                  <a:tint val="77000"/>
                </a:schemeClr>
              </a:solidFill>
              <a:round/>
            </a:ln>
            <a:effectLst>
              <a:outerShdw blurRad="57150" dist="19050" dir="5400000" algn="ctr" rotWithShape="0">
                <a:srgbClr val="000000">
                  <a:alpha val="63000"/>
                </a:srgbClr>
              </a:outerShdw>
            </a:effectLst>
          </c:spPr>
          <c:marker>
            <c:symbol val="none"/>
          </c:marker>
          <c:cat>
            <c:multiLvlStrRef>
              <c:f>Analyze!$E$65:$F$72</c:f>
              <c:multiLvlStrCache>
                <c:ptCount val="8"/>
                <c:lvl>
                  <c:pt idx="0">
                    <c:v> Qtr4 </c:v>
                  </c:pt>
                  <c:pt idx="1">
                    <c:v> 2023 </c:v>
                  </c:pt>
                  <c:pt idx="2">
                    <c:v> Qtr1 </c:v>
                  </c:pt>
                  <c:pt idx="3">
                    <c:v> Qtr2 </c:v>
                  </c:pt>
                  <c:pt idx="4">
                    <c:v> Qtr4 </c:v>
                  </c:pt>
                  <c:pt idx="5">
                    <c:v> $-   </c:v>
                  </c:pt>
                  <c:pt idx="6">
                    <c:v> $-   </c:v>
                  </c:pt>
                  <c:pt idx="7">
                    <c:v> $-   </c:v>
                  </c:pt>
                </c:lvl>
                <c:lvl>
                  <c:pt idx="0">
                    <c:v> 2022 </c:v>
                  </c:pt>
                  <c:pt idx="4">
                    <c:v> Qtr3 </c:v>
                  </c:pt>
                </c:lvl>
              </c:multiLvlStrCache>
            </c:multiLvlStrRef>
          </c:cat>
          <c:val>
            <c:numRef>
              <c:f>Analyze!$H$65:$H$72</c:f>
              <c:numCache>
                <c:formatCode>_-[$$-409]* #,##0.00_ ;_-[$$-409]* \-#,##0.00\ ;_-[$$-409]* "-"??_ ;_-@_ </c:formatCode>
                <c:ptCount val="8"/>
                <c:pt idx="0">
                  <c:v>0.40812500000000002</c:v>
                </c:pt>
                <c:pt idx="1">
                  <c:v>0</c:v>
                </c:pt>
                <c:pt idx="2">
                  <c:v>0.4431837606837617</c:v>
                </c:pt>
                <c:pt idx="3">
                  <c:v>0.43741150442477966</c:v>
                </c:pt>
                <c:pt idx="4">
                  <c:v>0.43009259259259203</c:v>
                </c:pt>
                <c:pt idx="5">
                  <c:v>0</c:v>
                </c:pt>
                <c:pt idx="6">
                  <c:v>0</c:v>
                </c:pt>
                <c:pt idx="7">
                  <c:v>0</c:v>
                </c:pt>
              </c:numCache>
            </c:numRef>
          </c:val>
          <c:smooth val="0"/>
          <c:extLst>
            <c:ext xmlns:c16="http://schemas.microsoft.com/office/drawing/2014/chart" uri="{C3380CC4-5D6E-409C-BE32-E72D297353CC}">
              <c16:uniqueId val="{00000001-0900-4C13-8B2A-7C90260F2D95}"/>
            </c:ext>
          </c:extLst>
        </c:ser>
        <c:dLbls>
          <c:showLegendKey val="0"/>
          <c:showVal val="0"/>
          <c:showCatName val="0"/>
          <c:showSerName val="0"/>
          <c:showPercent val="0"/>
          <c:showBubbleSize val="0"/>
        </c:dLbls>
        <c:marker val="1"/>
        <c:smooth val="0"/>
        <c:axId val="241193792"/>
        <c:axId val="241183808"/>
      </c:lineChart>
      <c:catAx>
        <c:axId val="241868800"/>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1872960"/>
        <c:crosses val="autoZero"/>
        <c:auto val="1"/>
        <c:lblAlgn val="ctr"/>
        <c:lblOffset val="100"/>
        <c:noMultiLvlLbl val="0"/>
      </c:catAx>
      <c:valAx>
        <c:axId val="241872960"/>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1868800"/>
        <c:crosses val="autoZero"/>
        <c:crossBetween val="between"/>
      </c:valAx>
      <c:valAx>
        <c:axId val="241183808"/>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PH"/>
                  <a:t>Average Profit Margin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1193792"/>
        <c:crosses val="max"/>
        <c:crossBetween val="between"/>
      </c:valAx>
      <c:catAx>
        <c:axId val="241193792"/>
        <c:scaling>
          <c:orientation val="minMax"/>
        </c:scaling>
        <c:delete val="1"/>
        <c:axPos val="b"/>
        <c:numFmt formatCode="General" sourceLinked="1"/>
        <c:majorTickMark val="none"/>
        <c:minorTickMark val="none"/>
        <c:tickLblPos val="nextTo"/>
        <c:crossAx val="2411838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411884</xdr:colOff>
      <xdr:row>76</xdr:row>
      <xdr:rowOff>50819</xdr:rowOff>
    </xdr:from>
    <xdr:to>
      <xdr:col>6</xdr:col>
      <xdr:colOff>830493</xdr:colOff>
      <xdr:row>97</xdr:row>
      <xdr:rowOff>62295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855889</xdr:colOff>
      <xdr:row>45</xdr:row>
      <xdr:rowOff>198665</xdr:rowOff>
    </xdr:from>
    <xdr:to>
      <xdr:col>8</xdr:col>
      <xdr:colOff>738868</xdr:colOff>
      <xdr:row>55</xdr:row>
      <xdr:rowOff>54429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95782" y="9383486"/>
              <a:ext cx="1828800" cy="189683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838200</xdr:colOff>
      <xdr:row>55</xdr:row>
      <xdr:rowOff>127907</xdr:rowOff>
    </xdr:from>
    <xdr:to>
      <xdr:col>8</xdr:col>
      <xdr:colOff>748393</xdr:colOff>
      <xdr:row>62</xdr:row>
      <xdr:rowOff>81643</xdr:rowOff>
    </xdr:to>
    <mc:AlternateContent xmlns:mc="http://schemas.openxmlformats.org/markup-compatibility/2006" xmlns:tsle="http://schemas.microsoft.com/office/drawing/2012/timeslicer">
      <mc:Choice Requires="tsle">
        <xdr:graphicFrame macro="">
          <xdr:nvGraphicFramePr>
            <xdr:cNvPr id="4" name="Invoice Date">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9778093" y="11353800"/>
              <a:ext cx="1856014" cy="1382486"/>
            </a:xfrm>
            <a:prstGeom prst="rect">
              <a:avLst/>
            </a:prstGeom>
            <a:solidFill>
              <a:prstClr val="white"/>
            </a:solidFill>
            <a:ln w="1">
              <a:solidFill>
                <a:prstClr val="green"/>
              </a:solidFill>
            </a:ln>
          </xdr:spPr>
          <xdr:txBody>
            <a:bodyPr vertOverflow="clip" horzOverflow="clip"/>
            <a:lstStyle/>
            <a:p>
              <a:r>
                <a:rPr lang="en-PH" sz="1100"/>
                <a:t>Timeline: Works in Excel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219076</xdr:colOff>
      <xdr:row>1</xdr:row>
      <xdr:rowOff>19050</xdr:rowOff>
    </xdr:from>
    <xdr:to>
      <xdr:col>11</xdr:col>
      <xdr:colOff>1</xdr:colOff>
      <xdr:row>5</xdr:row>
      <xdr:rowOff>76200</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2607653" y="216877"/>
          <a:ext cx="7283694" cy="848458"/>
        </a:xfrm>
        <a:prstGeom prst="rect">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xdr:col>
      <xdr:colOff>99645</xdr:colOff>
      <xdr:row>1</xdr:row>
      <xdr:rowOff>142142</xdr:rowOff>
    </xdr:from>
    <xdr:to>
      <xdr:col>9</xdr:col>
      <xdr:colOff>762000</xdr:colOff>
      <xdr:row>3</xdr:row>
      <xdr:rowOff>139211</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2708030" y="339969"/>
          <a:ext cx="6172201" cy="392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2200" b="1">
              <a:solidFill>
                <a:schemeClr val="bg1"/>
              </a:solidFill>
              <a:latin typeface="Berlin Sans FB Demi" panose="020E0802020502020306" pitchFamily="34" charset="0"/>
              <a:ea typeface="Artifakt Element Heavy" panose="020B0B03050000020004" pitchFamily="34" charset="0"/>
              <a:cs typeface="Cascadia Code" panose="020B0609020000020004" pitchFamily="49" charset="0"/>
            </a:rPr>
            <a:t>Coca-Cola</a:t>
          </a:r>
          <a:r>
            <a:rPr lang="en-PH" sz="2200" b="1" baseline="0">
              <a:solidFill>
                <a:schemeClr val="bg1"/>
              </a:solidFill>
              <a:latin typeface="Berlin Sans FB Demi" panose="020E0802020502020306" pitchFamily="34" charset="0"/>
              <a:ea typeface="Artifakt Element Heavy" panose="020B0B03050000020004" pitchFamily="34" charset="0"/>
              <a:cs typeface="Cascadia Code" panose="020B0609020000020004" pitchFamily="49" charset="0"/>
            </a:rPr>
            <a:t> USA RETAILER SALES DASHBOARD</a:t>
          </a:r>
          <a:endParaRPr lang="en-PH" sz="2200" b="1">
            <a:solidFill>
              <a:schemeClr val="bg1"/>
            </a:solidFill>
            <a:latin typeface="Berlin Sans FB Demi" panose="020E0802020502020306" pitchFamily="34" charset="0"/>
            <a:ea typeface="Artifakt Element Heavy" panose="020B0B03050000020004" pitchFamily="34" charset="0"/>
            <a:cs typeface="Cascadia Code" panose="020B0609020000020004" pitchFamily="49" charset="0"/>
          </a:endParaRPr>
        </a:p>
      </xdr:txBody>
    </xdr:sp>
    <xdr:clientData/>
  </xdr:twoCellAnchor>
  <xdr:twoCellAnchor editAs="oneCell">
    <xdr:from>
      <xdr:col>9</xdr:col>
      <xdr:colOff>718038</xdr:colOff>
      <xdr:row>1</xdr:row>
      <xdr:rowOff>117232</xdr:rowOff>
    </xdr:from>
    <xdr:to>
      <xdr:col>10</xdr:col>
      <xdr:colOff>798635</xdr:colOff>
      <xdr:row>4</xdr:row>
      <xdr:rowOff>120426</xdr:rowOff>
    </xdr:to>
    <xdr:pic>
      <xdr:nvPicPr>
        <xdr:cNvPr id="9" name="Picture 8" descr="Logo Usa Free Clipart HD Transparent HQ PNG Download | FreePNGimg">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64615" y="315059"/>
          <a:ext cx="967154" cy="596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112834</xdr:colOff>
      <xdr:row>3</xdr:row>
      <xdr:rowOff>58614</xdr:rowOff>
    </xdr:from>
    <xdr:to>
      <xdr:col>3</xdr:col>
      <xdr:colOff>446942</xdr:colOff>
      <xdr:row>4</xdr:row>
      <xdr:rowOff>58614</xdr:rowOff>
    </xdr:to>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2721219" y="652095"/>
          <a:ext cx="1220665" cy="197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000" i="1">
              <a:solidFill>
                <a:schemeClr val="bg1"/>
              </a:solidFill>
              <a:latin typeface="Bookman Old Style" panose="02050604050505020204" pitchFamily="18" charset="0"/>
            </a:rPr>
            <a:t>Figures</a:t>
          </a:r>
          <a:r>
            <a:rPr lang="en-PH" sz="1000" i="1" baseline="0">
              <a:solidFill>
                <a:schemeClr val="bg1"/>
              </a:solidFill>
              <a:latin typeface="Bookman Old Style" panose="02050604050505020204" pitchFamily="18" charset="0"/>
            </a:rPr>
            <a:t> in USD</a:t>
          </a:r>
          <a:endParaRPr lang="en-PH" sz="1000" i="1">
            <a:solidFill>
              <a:schemeClr val="bg1"/>
            </a:solidFill>
            <a:latin typeface="Bookman Old Style" panose="02050604050505020204" pitchFamily="18" charset="0"/>
          </a:endParaRPr>
        </a:p>
      </xdr:txBody>
    </xdr:sp>
    <xdr:clientData/>
  </xdr:twoCellAnchor>
  <xdr:twoCellAnchor>
    <xdr:from>
      <xdr:col>2</xdr:col>
      <xdr:colOff>14653</xdr:colOff>
      <xdr:row>6</xdr:row>
      <xdr:rowOff>7326</xdr:rowOff>
    </xdr:from>
    <xdr:to>
      <xdr:col>3</xdr:col>
      <xdr:colOff>798635</xdr:colOff>
      <xdr:row>8</xdr:row>
      <xdr:rowOff>139212</xdr:rowOff>
    </xdr:to>
    <xdr:sp macro="" textlink="">
      <xdr:nvSpPr>
        <xdr:cNvPr id="12" name="Round Diagonal Corner Rectangle 11">
          <a:extLst>
            <a:ext uri="{FF2B5EF4-FFF2-40B4-BE49-F238E27FC236}">
              <a16:creationId xmlns:a16="http://schemas.microsoft.com/office/drawing/2014/main" id="{00000000-0008-0000-0300-00000C000000}"/>
            </a:ext>
          </a:extLst>
        </xdr:cNvPr>
        <xdr:cNvSpPr/>
      </xdr:nvSpPr>
      <xdr:spPr>
        <a:xfrm>
          <a:off x="2623038" y="1194288"/>
          <a:ext cx="1670539" cy="527539"/>
        </a:xfrm>
        <a:prstGeom prst="round2DiagRect">
          <a:avLst/>
        </a:prstGeom>
        <a:solidFill>
          <a:schemeClr val="accent5">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xdr:col>
      <xdr:colOff>21980</xdr:colOff>
      <xdr:row>6</xdr:row>
      <xdr:rowOff>43961</xdr:rowOff>
    </xdr:from>
    <xdr:to>
      <xdr:col>3</xdr:col>
      <xdr:colOff>805963</xdr:colOff>
      <xdr:row>7</xdr:row>
      <xdr:rowOff>73270</xdr:rowOff>
    </xdr:to>
    <xdr:sp macro="" textlink="">
      <xdr:nvSpPr>
        <xdr:cNvPr id="13" name="TextBox 12">
          <a:extLst>
            <a:ext uri="{FF2B5EF4-FFF2-40B4-BE49-F238E27FC236}">
              <a16:creationId xmlns:a16="http://schemas.microsoft.com/office/drawing/2014/main" id="{00000000-0008-0000-0300-00000D000000}"/>
            </a:ext>
          </a:extLst>
        </xdr:cNvPr>
        <xdr:cNvSpPr txBox="1"/>
      </xdr:nvSpPr>
      <xdr:spPr>
        <a:xfrm>
          <a:off x="2630365" y="1230923"/>
          <a:ext cx="1670540" cy="227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800">
              <a:solidFill>
                <a:schemeClr val="bg1"/>
              </a:solidFill>
              <a:latin typeface="Berlin Sans FB" panose="020E0602020502020306" pitchFamily="34" charset="0"/>
            </a:rPr>
            <a:t>TOTA</a:t>
          </a:r>
          <a:r>
            <a:rPr lang="en-PH" sz="800" baseline="0">
              <a:solidFill>
                <a:schemeClr val="bg1"/>
              </a:solidFill>
              <a:latin typeface="Berlin Sans FB" panose="020E0602020502020306" pitchFamily="34" charset="0"/>
            </a:rPr>
            <a:t>L SALES</a:t>
          </a:r>
          <a:endParaRPr lang="en-PH" sz="800">
            <a:solidFill>
              <a:schemeClr val="bg1"/>
            </a:solidFill>
            <a:latin typeface="Berlin Sans FB" panose="020E0602020502020306" pitchFamily="34" charset="0"/>
          </a:endParaRPr>
        </a:p>
      </xdr:txBody>
    </xdr:sp>
    <xdr:clientData/>
  </xdr:twoCellAnchor>
  <xdr:twoCellAnchor>
    <xdr:from>
      <xdr:col>7</xdr:col>
      <xdr:colOff>2929</xdr:colOff>
      <xdr:row>6</xdr:row>
      <xdr:rowOff>7326</xdr:rowOff>
    </xdr:from>
    <xdr:to>
      <xdr:col>8</xdr:col>
      <xdr:colOff>798634</xdr:colOff>
      <xdr:row>8</xdr:row>
      <xdr:rowOff>131885</xdr:rowOff>
    </xdr:to>
    <xdr:sp macro="" textlink="">
      <xdr:nvSpPr>
        <xdr:cNvPr id="17" name="Round Diagonal Corner Rectangle 16">
          <a:extLst>
            <a:ext uri="{FF2B5EF4-FFF2-40B4-BE49-F238E27FC236}">
              <a16:creationId xmlns:a16="http://schemas.microsoft.com/office/drawing/2014/main" id="{00000000-0008-0000-0300-000011000000}"/>
            </a:ext>
          </a:extLst>
        </xdr:cNvPr>
        <xdr:cNvSpPr/>
      </xdr:nvSpPr>
      <xdr:spPr>
        <a:xfrm>
          <a:off x="6348044" y="1194288"/>
          <a:ext cx="1682263" cy="520212"/>
        </a:xfrm>
        <a:prstGeom prst="round2DiagRect">
          <a:avLst/>
        </a:prstGeom>
        <a:solidFill>
          <a:schemeClr val="accent5">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733</xdr:colOff>
      <xdr:row>6</xdr:row>
      <xdr:rowOff>21980</xdr:rowOff>
    </xdr:from>
    <xdr:to>
      <xdr:col>8</xdr:col>
      <xdr:colOff>805962</xdr:colOff>
      <xdr:row>7</xdr:row>
      <xdr:rowOff>51289</xdr:rowOff>
    </xdr:to>
    <xdr:sp macro="" textlink="">
      <xdr:nvSpPr>
        <xdr:cNvPr id="18" name="TextBox 17">
          <a:extLst>
            <a:ext uri="{FF2B5EF4-FFF2-40B4-BE49-F238E27FC236}">
              <a16:creationId xmlns:a16="http://schemas.microsoft.com/office/drawing/2014/main" id="{00000000-0008-0000-0300-000012000000}"/>
            </a:ext>
          </a:extLst>
        </xdr:cNvPr>
        <xdr:cNvSpPr txBox="1"/>
      </xdr:nvSpPr>
      <xdr:spPr>
        <a:xfrm>
          <a:off x="6345848" y="1208942"/>
          <a:ext cx="1691787" cy="227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800">
              <a:solidFill>
                <a:schemeClr val="bg1"/>
              </a:solidFill>
              <a:latin typeface="Berlin Sans FB" panose="020E0602020502020306" pitchFamily="34" charset="0"/>
            </a:rPr>
            <a:t>AVERAGE</a:t>
          </a:r>
          <a:r>
            <a:rPr lang="en-PH" sz="800" baseline="0">
              <a:solidFill>
                <a:schemeClr val="bg1"/>
              </a:solidFill>
              <a:latin typeface="Berlin Sans FB" panose="020E0602020502020306" pitchFamily="34" charset="0"/>
            </a:rPr>
            <a:t> OPERATION PROFIT</a:t>
          </a:r>
          <a:endParaRPr lang="en-PH" sz="800">
            <a:solidFill>
              <a:schemeClr val="bg1"/>
            </a:solidFill>
            <a:latin typeface="Berlin Sans FB" panose="020E0602020502020306" pitchFamily="34" charset="0"/>
          </a:endParaRPr>
        </a:p>
      </xdr:txBody>
    </xdr:sp>
    <xdr:clientData/>
  </xdr:twoCellAnchor>
  <xdr:twoCellAnchor>
    <xdr:from>
      <xdr:col>7</xdr:col>
      <xdr:colOff>7327</xdr:colOff>
      <xdr:row>7</xdr:row>
      <xdr:rowOff>58616</xdr:rowOff>
    </xdr:from>
    <xdr:to>
      <xdr:col>8</xdr:col>
      <xdr:colOff>798635</xdr:colOff>
      <xdr:row>8</xdr:row>
      <xdr:rowOff>95250</xdr:rowOff>
    </xdr:to>
    <xdr:sp macro="" textlink="Analyze!B$19">
      <xdr:nvSpPr>
        <xdr:cNvPr id="19" name="TextBox 18">
          <a:extLst>
            <a:ext uri="{FF2B5EF4-FFF2-40B4-BE49-F238E27FC236}">
              <a16:creationId xmlns:a16="http://schemas.microsoft.com/office/drawing/2014/main" id="{00000000-0008-0000-0300-000013000000}"/>
            </a:ext>
          </a:extLst>
        </xdr:cNvPr>
        <xdr:cNvSpPr txBox="1"/>
      </xdr:nvSpPr>
      <xdr:spPr>
        <a:xfrm>
          <a:off x="6352442" y="1443404"/>
          <a:ext cx="1677866" cy="23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E3E3ADB-E4BA-4009-862F-434EA297050C}" type="TxLink">
            <a:rPr lang="en-US" sz="1200" b="0" i="0" u="none" strike="noStrike">
              <a:solidFill>
                <a:schemeClr val="bg1"/>
              </a:solidFill>
              <a:latin typeface="Calibri"/>
              <a:cs typeface="Calibri"/>
            </a:rPr>
            <a:pPr algn="ctr"/>
            <a:t> $366.45 </a:t>
          </a:fld>
          <a:endParaRPr lang="en-PH" sz="1100">
            <a:solidFill>
              <a:schemeClr val="bg1"/>
            </a:solidFill>
          </a:endParaRPr>
        </a:p>
      </xdr:txBody>
    </xdr:sp>
    <xdr:clientData/>
  </xdr:twoCellAnchor>
  <xdr:twoCellAnchor>
    <xdr:from>
      <xdr:col>9</xdr:col>
      <xdr:colOff>95251</xdr:colOff>
      <xdr:row>5</xdr:row>
      <xdr:rowOff>183171</xdr:rowOff>
    </xdr:from>
    <xdr:to>
      <xdr:col>11</xdr:col>
      <xdr:colOff>0</xdr:colOff>
      <xdr:row>8</xdr:row>
      <xdr:rowOff>131885</xdr:rowOff>
    </xdr:to>
    <xdr:sp macro="" textlink="">
      <xdr:nvSpPr>
        <xdr:cNvPr id="20" name="Round Diagonal Corner Rectangle 19">
          <a:extLst>
            <a:ext uri="{FF2B5EF4-FFF2-40B4-BE49-F238E27FC236}">
              <a16:creationId xmlns:a16="http://schemas.microsoft.com/office/drawing/2014/main" id="{00000000-0008-0000-0300-000014000000}"/>
            </a:ext>
          </a:extLst>
        </xdr:cNvPr>
        <xdr:cNvSpPr/>
      </xdr:nvSpPr>
      <xdr:spPr>
        <a:xfrm>
          <a:off x="8213482" y="1172306"/>
          <a:ext cx="1677864" cy="542194"/>
        </a:xfrm>
        <a:prstGeom prst="round2DiagRect">
          <a:avLst/>
        </a:prstGeom>
        <a:solidFill>
          <a:schemeClr val="accent5">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9</xdr:col>
      <xdr:colOff>80596</xdr:colOff>
      <xdr:row>6</xdr:row>
      <xdr:rowOff>14653</xdr:rowOff>
    </xdr:from>
    <xdr:to>
      <xdr:col>11</xdr:col>
      <xdr:colOff>7327</xdr:colOff>
      <xdr:row>7</xdr:row>
      <xdr:rowOff>14655</xdr:rowOff>
    </xdr:to>
    <xdr:sp macro="" textlink="">
      <xdr:nvSpPr>
        <xdr:cNvPr id="21" name="TextBox 20">
          <a:extLst>
            <a:ext uri="{FF2B5EF4-FFF2-40B4-BE49-F238E27FC236}">
              <a16:creationId xmlns:a16="http://schemas.microsoft.com/office/drawing/2014/main" id="{00000000-0008-0000-0300-000015000000}"/>
            </a:ext>
          </a:extLst>
        </xdr:cNvPr>
        <xdr:cNvSpPr txBox="1"/>
      </xdr:nvSpPr>
      <xdr:spPr>
        <a:xfrm>
          <a:off x="8198827" y="1201615"/>
          <a:ext cx="1699846" cy="197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800">
              <a:solidFill>
                <a:schemeClr val="bg1"/>
              </a:solidFill>
              <a:latin typeface="Berlin Sans FB" panose="020E0602020502020306" pitchFamily="34" charset="0"/>
            </a:rPr>
            <a:t>AVERAGE OPERATION MARGIN</a:t>
          </a:r>
        </a:p>
      </xdr:txBody>
    </xdr:sp>
    <xdr:clientData/>
  </xdr:twoCellAnchor>
  <xdr:twoCellAnchor>
    <xdr:from>
      <xdr:col>9</xdr:col>
      <xdr:colOff>95250</xdr:colOff>
      <xdr:row>7</xdr:row>
      <xdr:rowOff>51287</xdr:rowOff>
    </xdr:from>
    <xdr:to>
      <xdr:col>10</xdr:col>
      <xdr:colOff>879231</xdr:colOff>
      <xdr:row>8</xdr:row>
      <xdr:rowOff>87921</xdr:rowOff>
    </xdr:to>
    <xdr:sp macro="" textlink="Analyze!B$23">
      <xdr:nvSpPr>
        <xdr:cNvPr id="22" name="TextBox 21">
          <a:extLst>
            <a:ext uri="{FF2B5EF4-FFF2-40B4-BE49-F238E27FC236}">
              <a16:creationId xmlns:a16="http://schemas.microsoft.com/office/drawing/2014/main" id="{00000000-0008-0000-0300-000016000000}"/>
            </a:ext>
          </a:extLst>
        </xdr:cNvPr>
        <xdr:cNvSpPr txBox="1"/>
      </xdr:nvSpPr>
      <xdr:spPr>
        <a:xfrm>
          <a:off x="8213481" y="1436075"/>
          <a:ext cx="1670538" cy="23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E5415B7-93CA-4714-AFB6-DABF924E06B2}" type="TxLink">
            <a:rPr lang="en-US" sz="1200" b="0" i="0" u="none" strike="noStrike">
              <a:solidFill>
                <a:schemeClr val="bg1"/>
              </a:solidFill>
              <a:latin typeface="Calibri"/>
              <a:cs typeface="Calibri"/>
            </a:rPr>
            <a:pPr algn="ctr"/>
            <a:t> $0.44 </a:t>
          </a:fld>
          <a:endParaRPr lang="en-PH" sz="1100">
            <a:solidFill>
              <a:schemeClr val="bg1"/>
            </a:solidFill>
          </a:endParaRPr>
        </a:p>
      </xdr:txBody>
    </xdr:sp>
    <xdr:clientData/>
  </xdr:twoCellAnchor>
  <xdr:twoCellAnchor>
    <xdr:from>
      <xdr:col>4</xdr:col>
      <xdr:colOff>95250</xdr:colOff>
      <xdr:row>6</xdr:row>
      <xdr:rowOff>0</xdr:rowOff>
    </xdr:from>
    <xdr:to>
      <xdr:col>5</xdr:col>
      <xdr:colOff>879230</xdr:colOff>
      <xdr:row>8</xdr:row>
      <xdr:rowOff>139212</xdr:rowOff>
    </xdr:to>
    <xdr:sp macro="" textlink="">
      <xdr:nvSpPr>
        <xdr:cNvPr id="23" name="Round Diagonal Corner Rectangle 22">
          <a:extLst>
            <a:ext uri="{FF2B5EF4-FFF2-40B4-BE49-F238E27FC236}">
              <a16:creationId xmlns:a16="http://schemas.microsoft.com/office/drawing/2014/main" id="{00000000-0008-0000-0300-000017000000}"/>
            </a:ext>
          </a:extLst>
        </xdr:cNvPr>
        <xdr:cNvSpPr/>
      </xdr:nvSpPr>
      <xdr:spPr>
        <a:xfrm>
          <a:off x="4476750" y="1186962"/>
          <a:ext cx="1670538" cy="534865"/>
        </a:xfrm>
        <a:prstGeom prst="round2DiagRect">
          <a:avLst/>
        </a:prstGeom>
        <a:solidFill>
          <a:schemeClr val="accent5">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xdr:col>
      <xdr:colOff>87922</xdr:colOff>
      <xdr:row>6</xdr:row>
      <xdr:rowOff>29308</xdr:rowOff>
    </xdr:from>
    <xdr:to>
      <xdr:col>5</xdr:col>
      <xdr:colOff>879229</xdr:colOff>
      <xdr:row>7</xdr:row>
      <xdr:rowOff>58617</xdr:rowOff>
    </xdr:to>
    <xdr:sp macro="" textlink="">
      <xdr:nvSpPr>
        <xdr:cNvPr id="24" name="TextBox 23">
          <a:extLst>
            <a:ext uri="{FF2B5EF4-FFF2-40B4-BE49-F238E27FC236}">
              <a16:creationId xmlns:a16="http://schemas.microsoft.com/office/drawing/2014/main" id="{00000000-0008-0000-0300-000018000000}"/>
            </a:ext>
          </a:extLst>
        </xdr:cNvPr>
        <xdr:cNvSpPr txBox="1"/>
      </xdr:nvSpPr>
      <xdr:spPr>
        <a:xfrm>
          <a:off x="4469422" y="1216270"/>
          <a:ext cx="1677865" cy="227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800">
              <a:solidFill>
                <a:schemeClr val="bg1"/>
              </a:solidFill>
              <a:latin typeface="Berlin Sans FB" panose="020E0602020502020306" pitchFamily="34" charset="0"/>
            </a:rPr>
            <a:t>TOTA</a:t>
          </a:r>
          <a:r>
            <a:rPr lang="en-PH" sz="800" baseline="0">
              <a:solidFill>
                <a:schemeClr val="bg1"/>
              </a:solidFill>
              <a:latin typeface="Berlin Sans FB" panose="020E0602020502020306" pitchFamily="34" charset="0"/>
            </a:rPr>
            <a:t>L UNIT SOLD</a:t>
          </a:r>
          <a:endParaRPr lang="en-PH" sz="800">
            <a:solidFill>
              <a:schemeClr val="bg1"/>
            </a:solidFill>
            <a:latin typeface="Berlin Sans FB" panose="020E0602020502020306" pitchFamily="34" charset="0"/>
          </a:endParaRPr>
        </a:p>
      </xdr:txBody>
    </xdr:sp>
    <xdr:clientData/>
  </xdr:twoCellAnchor>
  <xdr:twoCellAnchor>
    <xdr:from>
      <xdr:col>4</xdr:col>
      <xdr:colOff>109903</xdr:colOff>
      <xdr:row>7</xdr:row>
      <xdr:rowOff>36636</xdr:rowOff>
    </xdr:from>
    <xdr:to>
      <xdr:col>6</xdr:col>
      <xdr:colOff>7327</xdr:colOff>
      <xdr:row>8</xdr:row>
      <xdr:rowOff>73270</xdr:rowOff>
    </xdr:to>
    <xdr:sp macro="" textlink="Analyze!B26">
      <xdr:nvSpPr>
        <xdr:cNvPr id="25" name="TextBox 24">
          <a:extLst>
            <a:ext uri="{FF2B5EF4-FFF2-40B4-BE49-F238E27FC236}">
              <a16:creationId xmlns:a16="http://schemas.microsoft.com/office/drawing/2014/main" id="{00000000-0008-0000-0300-000019000000}"/>
            </a:ext>
          </a:extLst>
        </xdr:cNvPr>
        <xdr:cNvSpPr txBox="1"/>
      </xdr:nvSpPr>
      <xdr:spPr>
        <a:xfrm>
          <a:off x="4491403" y="1421424"/>
          <a:ext cx="1663212" cy="23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4BBA40E-2F08-4828-B3A5-ED2D5DE04ACB}" type="TxLink">
            <a:rPr lang="en-US" sz="1200" b="0" i="0" u="none" strike="noStrike">
              <a:solidFill>
                <a:schemeClr val="bg1"/>
              </a:solidFill>
              <a:latin typeface="Calibri"/>
              <a:cs typeface="Calibri"/>
            </a:rPr>
            <a:pPr algn="ctr"/>
            <a:t> $1,872.00 </a:t>
          </a:fld>
          <a:endParaRPr lang="en-PH" sz="1100">
            <a:solidFill>
              <a:schemeClr val="bg1"/>
            </a:solidFill>
          </a:endParaRPr>
        </a:p>
      </xdr:txBody>
    </xdr:sp>
    <xdr:clientData/>
  </xdr:twoCellAnchor>
  <xdr:twoCellAnchor>
    <xdr:from>
      <xdr:col>2</xdr:col>
      <xdr:colOff>7328</xdr:colOff>
      <xdr:row>7</xdr:row>
      <xdr:rowOff>51290</xdr:rowOff>
    </xdr:from>
    <xdr:to>
      <xdr:col>3</xdr:col>
      <xdr:colOff>791309</xdr:colOff>
      <xdr:row>8</xdr:row>
      <xdr:rowOff>87924</xdr:rowOff>
    </xdr:to>
    <xdr:sp macro="" textlink="Analyze!B$15">
      <xdr:nvSpPr>
        <xdr:cNvPr id="39" name="TextBox 38">
          <a:extLst>
            <a:ext uri="{FF2B5EF4-FFF2-40B4-BE49-F238E27FC236}">
              <a16:creationId xmlns:a16="http://schemas.microsoft.com/office/drawing/2014/main" id="{00000000-0008-0000-0300-000027000000}"/>
            </a:ext>
          </a:extLst>
        </xdr:cNvPr>
        <xdr:cNvSpPr txBox="1"/>
      </xdr:nvSpPr>
      <xdr:spPr>
        <a:xfrm>
          <a:off x="2615713" y="1436078"/>
          <a:ext cx="1670538" cy="23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91D905-A2A9-49C7-A150-A4BD9A9EAF75}" type="TxLink">
            <a:rPr lang="en-US" sz="1200" b="0" i="0" u="none" strike="noStrike">
              <a:solidFill>
                <a:schemeClr val="bg1"/>
              </a:solidFill>
              <a:latin typeface="Calibri"/>
              <a:cs typeface="Calibri"/>
            </a:rPr>
            <a:pPr algn="ctr"/>
            <a:t> $1,667,443.40 </a:t>
          </a:fld>
          <a:endParaRPr lang="en-PH" sz="1100">
            <a:solidFill>
              <a:schemeClr val="bg1"/>
            </a:solidFill>
          </a:endParaRPr>
        </a:p>
      </xdr:txBody>
    </xdr:sp>
    <xdr:clientData/>
  </xdr:twoCellAnchor>
  <xdr:twoCellAnchor>
    <xdr:from>
      <xdr:col>2</xdr:col>
      <xdr:colOff>0</xdr:colOff>
      <xdr:row>9</xdr:row>
      <xdr:rowOff>168520</xdr:rowOff>
    </xdr:from>
    <xdr:to>
      <xdr:col>5</xdr:col>
      <xdr:colOff>871904</xdr:colOff>
      <xdr:row>11</xdr:row>
      <xdr:rowOff>0</xdr:rowOff>
    </xdr:to>
    <xdr:sp macro="" textlink="">
      <xdr:nvSpPr>
        <xdr:cNvPr id="41" name="TextBox 40">
          <a:extLst>
            <a:ext uri="{FF2B5EF4-FFF2-40B4-BE49-F238E27FC236}">
              <a16:creationId xmlns:a16="http://schemas.microsoft.com/office/drawing/2014/main" id="{00000000-0008-0000-0300-000029000000}"/>
            </a:ext>
          </a:extLst>
        </xdr:cNvPr>
        <xdr:cNvSpPr txBox="1"/>
      </xdr:nvSpPr>
      <xdr:spPr>
        <a:xfrm>
          <a:off x="2608385" y="1948962"/>
          <a:ext cx="3531577" cy="22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1">
              <a:solidFill>
                <a:schemeClr val="bg1"/>
              </a:solidFill>
            </a:rPr>
            <a:t>SALES</a:t>
          </a:r>
          <a:r>
            <a:rPr lang="en-PH" sz="1100" b="1" baseline="0">
              <a:solidFill>
                <a:schemeClr val="bg1"/>
              </a:solidFill>
            </a:rPr>
            <a:t> BY BEVERAGE BRAND</a:t>
          </a:r>
          <a:endParaRPr lang="en-PH" sz="1100" b="1">
            <a:solidFill>
              <a:schemeClr val="bg1"/>
            </a:solidFill>
          </a:endParaRPr>
        </a:p>
      </xdr:txBody>
    </xdr:sp>
    <xdr:clientData/>
  </xdr:twoCellAnchor>
  <xdr:twoCellAnchor>
    <xdr:from>
      <xdr:col>7</xdr:col>
      <xdr:colOff>7327</xdr:colOff>
      <xdr:row>9</xdr:row>
      <xdr:rowOff>161192</xdr:rowOff>
    </xdr:from>
    <xdr:to>
      <xdr:col>11</xdr:col>
      <xdr:colOff>0</xdr:colOff>
      <xdr:row>10</xdr:row>
      <xdr:rowOff>183172</xdr:rowOff>
    </xdr:to>
    <xdr:sp macro="" textlink="">
      <xdr:nvSpPr>
        <xdr:cNvPr id="42" name="TextBox 41">
          <a:extLst>
            <a:ext uri="{FF2B5EF4-FFF2-40B4-BE49-F238E27FC236}">
              <a16:creationId xmlns:a16="http://schemas.microsoft.com/office/drawing/2014/main" id="{00000000-0008-0000-0300-00002A000000}"/>
            </a:ext>
          </a:extLst>
        </xdr:cNvPr>
        <xdr:cNvSpPr txBox="1"/>
      </xdr:nvSpPr>
      <xdr:spPr>
        <a:xfrm>
          <a:off x="6352442" y="1941634"/>
          <a:ext cx="3538904" cy="219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1">
              <a:solidFill>
                <a:schemeClr val="bg1"/>
              </a:solidFill>
            </a:rPr>
            <a:t>SALES</a:t>
          </a:r>
          <a:r>
            <a:rPr lang="en-PH" sz="1100" b="1" baseline="0">
              <a:solidFill>
                <a:schemeClr val="bg1"/>
              </a:solidFill>
            </a:rPr>
            <a:t> BY RETAILER</a:t>
          </a:r>
          <a:endParaRPr lang="en-PH" sz="1100" b="1">
            <a:solidFill>
              <a:schemeClr val="bg1"/>
            </a:solidFill>
          </a:endParaRPr>
        </a:p>
      </xdr:txBody>
    </xdr:sp>
    <xdr:clientData/>
  </xdr:twoCellAnchor>
  <xdr:twoCellAnchor>
    <xdr:from>
      <xdr:col>0</xdr:col>
      <xdr:colOff>7328</xdr:colOff>
      <xdr:row>0</xdr:row>
      <xdr:rowOff>1</xdr:rowOff>
    </xdr:from>
    <xdr:to>
      <xdr:col>1</xdr:col>
      <xdr:colOff>7327</xdr:colOff>
      <xdr:row>32</xdr:row>
      <xdr:rowOff>7327</xdr:rowOff>
    </xdr:to>
    <xdr:sp macro="" textlink="">
      <xdr:nvSpPr>
        <xdr:cNvPr id="43" name="TextBox 42">
          <a:extLst>
            <a:ext uri="{FF2B5EF4-FFF2-40B4-BE49-F238E27FC236}">
              <a16:creationId xmlns:a16="http://schemas.microsoft.com/office/drawing/2014/main" id="{00000000-0008-0000-0300-00002B000000}"/>
            </a:ext>
          </a:extLst>
        </xdr:cNvPr>
        <xdr:cNvSpPr txBox="1"/>
      </xdr:nvSpPr>
      <xdr:spPr>
        <a:xfrm>
          <a:off x="7328" y="1"/>
          <a:ext cx="2388576" cy="6337788"/>
        </a:xfrm>
        <a:prstGeom prst="rect">
          <a:avLst/>
        </a:prstGeom>
        <a:solidFill>
          <a:schemeClr val="accent1">
            <a:lumMod val="5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PH" sz="1100"/>
        </a:p>
      </xdr:txBody>
    </xdr:sp>
    <xdr:clientData/>
  </xdr:twoCellAnchor>
  <xdr:twoCellAnchor editAs="oneCell">
    <xdr:from>
      <xdr:col>0</xdr:col>
      <xdr:colOff>280621</xdr:colOff>
      <xdr:row>1</xdr:row>
      <xdr:rowOff>145073</xdr:rowOff>
    </xdr:from>
    <xdr:to>
      <xdr:col>0</xdr:col>
      <xdr:colOff>2073519</xdr:colOff>
      <xdr:row>6</xdr:row>
      <xdr:rowOff>73163</xdr:rowOff>
    </xdr:to>
    <xdr:pic>
      <xdr:nvPicPr>
        <xdr:cNvPr id="5" name="Picture 4" descr="Download HD Coca Cola Logo Png Transparent Background - Coca Cola  Transparent PNG Image - NicePNG.com">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0621" y="342900"/>
          <a:ext cx="1792898" cy="91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157540</xdr:colOff>
      <xdr:row>7</xdr:row>
      <xdr:rowOff>8284</xdr:rowOff>
    </xdr:from>
    <xdr:to>
      <xdr:col>0</xdr:col>
      <xdr:colOff>2203174</xdr:colOff>
      <xdr:row>17</xdr:row>
      <xdr:rowOff>107674</xdr:rowOff>
    </xdr:to>
    <mc:AlternateContent xmlns:mc="http://schemas.openxmlformats.org/markup-compatibility/2006" xmlns:a14="http://schemas.microsoft.com/office/drawing/2010/main">
      <mc:Choice Requires="a14">
        <xdr:graphicFrame macro="">
          <xdr:nvGraphicFramePr>
            <xdr:cNvPr id="47" name="Region 1">
              <a:extLst>
                <a:ext uri="{FF2B5EF4-FFF2-40B4-BE49-F238E27FC236}">
                  <a16:creationId xmlns:a16="http://schemas.microsoft.com/office/drawing/2014/main" id="{00000000-0008-0000-0300-00002F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7540" y="1399762"/>
              <a:ext cx="2045634" cy="208721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173935</xdr:colOff>
      <xdr:row>18</xdr:row>
      <xdr:rowOff>32185</xdr:rowOff>
    </xdr:from>
    <xdr:to>
      <xdr:col>0</xdr:col>
      <xdr:colOff>2203174</xdr:colOff>
      <xdr:row>26</xdr:row>
      <xdr:rowOff>107674</xdr:rowOff>
    </xdr:to>
    <mc:AlternateContent xmlns:mc="http://schemas.openxmlformats.org/markup-compatibility/2006" xmlns:tsle="http://schemas.microsoft.com/office/drawing/2012/timeslicer">
      <mc:Choice Requires="tsle">
        <xdr:graphicFrame macro="">
          <xdr:nvGraphicFramePr>
            <xdr:cNvPr id="48" name="Invoice Date 1">
              <a:extLst>
                <a:ext uri="{FF2B5EF4-FFF2-40B4-BE49-F238E27FC236}">
                  <a16:creationId xmlns:a16="http://schemas.microsoft.com/office/drawing/2014/main" id="{00000000-0008-0000-0300-000030000000}"/>
                </a:ext>
              </a:extLst>
            </xdr:cNvPr>
            <xdr:cNvGraphicFramePr/>
          </xdr:nvGraphicFramePr>
          <xdr:xfrm>
            <a:off x="0" y="0"/>
            <a:ext cx="0" cy="0"/>
          </xdr:xfrm>
          <a:graphic>
            <a:graphicData uri="http://schemas.microsoft.com/office/drawing/2012/timeslicer">
              <tsle:timeslicer name="Invoice Date 1"/>
            </a:graphicData>
          </a:graphic>
        </xdr:graphicFrame>
      </mc:Choice>
      <mc:Fallback xmlns="">
        <xdr:sp macro="" textlink="">
          <xdr:nvSpPr>
            <xdr:cNvPr id="0" name=""/>
            <xdr:cNvSpPr>
              <a:spLocks noTextEdit="1"/>
            </xdr:cNvSpPr>
          </xdr:nvSpPr>
          <xdr:spPr>
            <a:xfrm>
              <a:off x="173935" y="3610272"/>
              <a:ext cx="2029239" cy="1665750"/>
            </a:xfrm>
            <a:prstGeom prst="rect">
              <a:avLst/>
            </a:prstGeom>
            <a:solidFill>
              <a:prstClr val="white"/>
            </a:solidFill>
            <a:ln w="1">
              <a:solidFill>
                <a:prstClr val="green"/>
              </a:solidFill>
            </a:ln>
          </xdr:spPr>
          <xdr:txBody>
            <a:bodyPr vertOverflow="clip" horzOverflow="clip"/>
            <a:lstStyle/>
            <a:p>
              <a:r>
                <a:rPr lang="en-PH" sz="1100"/>
                <a:t>Timeline: Works in Excel or higher. Do not move or resize.</a:t>
              </a:r>
            </a:p>
          </xdr:txBody>
        </xdr:sp>
      </mc:Fallback>
    </mc:AlternateContent>
    <xdr:clientData/>
  </xdr:twoCellAnchor>
  <xdr:twoCellAnchor>
    <xdr:from>
      <xdr:col>3</xdr:col>
      <xdr:colOff>165653</xdr:colOff>
      <xdr:row>19</xdr:row>
      <xdr:rowOff>182217</xdr:rowOff>
    </xdr:from>
    <xdr:to>
      <xdr:col>9</xdr:col>
      <xdr:colOff>745435</xdr:colOff>
      <xdr:row>32</xdr:row>
      <xdr:rowOff>1</xdr:rowOff>
    </xdr:to>
    <xdr:graphicFrame macro="">
      <xdr:nvGraphicFramePr>
        <xdr:cNvPr id="55" name="Chart 54">
          <a:extLst>
            <a:ext uri="{FF2B5EF4-FFF2-40B4-BE49-F238E27FC236}">
              <a16:creationId xmlns:a16="http://schemas.microsoft.com/office/drawing/2014/main" id="{00000000-0008-0000-03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74.381565509262" createdVersion="6" refreshedVersion="6" minRefreshableVersion="3" recordCount="9648" xr:uid="{00000000-000A-0000-FFFF-FFFF15000000}">
  <cacheSource type="worksheet">
    <worksheetSource name="Table1"/>
  </cacheSource>
  <cacheFields count="14">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3" base="2">
        <rangePr groupBy="months" startDate="2022-01-01T00:00:00" endDate="2024-01-01T00:00:00"/>
        <groupItems count="14">
          <s v="&lt;01/01/2022"/>
          <s v="Jan"/>
          <s v="Feb"/>
          <s v="Mar"/>
          <s v="Apr"/>
          <s v="May"/>
          <s v="Jun"/>
          <s v="Jul"/>
          <s v="Aug"/>
          <s v="Sep"/>
          <s v="Oct"/>
          <s v="Nov"/>
          <s v="Dec"/>
          <s v="&gt;01/01/2024"/>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80000000000000016"/>
    </cacheField>
    <cacheField name="Quarters" numFmtId="0" databaseField="0">
      <fieldGroup base="2">
        <rangePr groupBy="quarters" startDate="2022-01-01T00:00:00" endDate="2024-01-01T00:00:00"/>
        <groupItems count="6">
          <s v="&lt;01/01/2022"/>
          <s v="Qtr1"/>
          <s v="Qtr2"/>
          <s v="Qtr3"/>
          <s v="Qtr4"/>
          <s v="&gt;01/01/2024"/>
        </groupItems>
      </fieldGroup>
    </cacheField>
    <cacheField name="Years"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C20"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h="1" x="0"/>
        <item h="1" x="1"/>
        <item h="1" x="4"/>
        <item h="1" x="2"/>
        <item t="default"/>
      </items>
    </pivotField>
    <pivotField showAll="0"/>
    <pivotField showAll="0"/>
    <pivotField showAll="0"/>
    <pivotField numFmtId="8" showAll="0"/>
    <pivotField numFmtId="3" showAll="0"/>
    <pivotField numFmtId="6" showAll="0"/>
    <pivotField numFmtId="6" showAll="0"/>
    <pivotField numFmtId="9" showAll="0"/>
    <pivotField showAll="0" defaultSubtotal="0">
      <items count="6">
        <item x="0"/>
        <item x="1"/>
        <item x="2"/>
        <item x="3"/>
        <item x="4"/>
        <item x="5"/>
      </items>
    </pivotField>
    <pivotField showAll="0" defaultSubtotal="0">
      <items count="5">
        <item x="0"/>
        <item x="1"/>
        <item x="2"/>
        <item x="3"/>
        <item x="4"/>
      </items>
    </pivotField>
  </pivotFields>
  <pivotTableStyleInfo name="PivotStyleLight16" showRowHeaders="1" showColHeaders="1" showRowStripes="0" showColStripes="0" showLastColumn="1"/>
  <filters count="1">
    <filter fld="2" type="dateBetween" evalOrder="-1" id="120"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22:B23"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h="1" x="0"/>
        <item h="1" x="1"/>
        <item h="1" x="4"/>
        <item h="1" x="2"/>
        <item t="default"/>
      </items>
    </pivotField>
    <pivotField showAll="0"/>
    <pivotField showAll="0"/>
    <pivotField showAll="0"/>
    <pivotField numFmtId="8" showAll="0"/>
    <pivotField numFmtId="3" showAll="0"/>
    <pivotField numFmtId="6" showAll="0"/>
    <pivotField numFmtId="6" showAll="0"/>
    <pivotField dataField="1"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Average of Operating Margin" fld="11" subtotal="average" baseField="0" baseItem="1218371232" numFmtId="165"/>
  </dataFields>
  <formats count="9">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type="all" dataOnly="0" outline="0" fieldPosition="0"/>
    </format>
    <format dxfId="2">
      <pivotArea outline="0" collapsedLevelsAreSubtotals="1" fieldPosition="0"/>
    </format>
    <format dxfId="1">
      <pivotArea dataOnly="0" labelOnly="1" outline="0" axis="axisValues" fieldPosition="0"/>
    </format>
    <format dxfId="0">
      <pivotArea dataOnly="0" labelOnly="1" outline="0" axis="axisValues" fieldPosition="0"/>
    </format>
  </formats>
  <pivotTableStyleInfo name="PivotStyleLight16" showRowHeaders="1" showColHeaders="1" showRowStripes="0" showColStripes="0" showLastColumn="1"/>
  <filters count="1">
    <filter fld="2" type="dateBetween" evalOrder="-1" id="120"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14"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location ref="B63:D70" firstHeaderRow="0" firstDataRow="1" firstDataCol="1"/>
  <pivotFields count="14">
    <pivotField showAll="0" sortType="descending">
      <items count="7">
        <item x="1"/>
        <item x="0"/>
        <item x="2"/>
        <item x="5"/>
        <item x="3"/>
        <item x="4"/>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showAll="0">
      <items count="6">
        <item x="3"/>
        <item h="1" x="0"/>
        <item h="1" x="1"/>
        <item h="1" x="4"/>
        <item h="1" x="2"/>
        <item t="default"/>
      </items>
    </pivotField>
    <pivotField showAll="0"/>
    <pivotField showAll="0"/>
    <pivotField showAll="0"/>
    <pivotField numFmtId="8" showAll="0"/>
    <pivotField numFmtId="3" showAll="0"/>
    <pivotField dataField="1" numFmtId="6" showAll="0"/>
    <pivotField numFmtId="6" showAll="0"/>
    <pivotField dataField="1" numFmtId="9" showAll="0"/>
    <pivotField axis="axisRow" showAll="0" defaultSubtotal="0">
      <items count="6">
        <item x="0"/>
        <item x="1"/>
        <item x="2"/>
        <item x="3"/>
        <item x="4"/>
        <item x="5"/>
      </items>
    </pivotField>
    <pivotField axis="axisRow" showAll="0" defaultSubtotal="0">
      <items count="5">
        <item x="0"/>
        <item x="1"/>
        <item x="2"/>
        <item x="3"/>
        <item x="4"/>
      </items>
    </pivotField>
  </pivotFields>
  <rowFields count="2">
    <field x="13"/>
    <field x="12"/>
  </rowFields>
  <rowItems count="7">
    <i>
      <x v="1"/>
    </i>
    <i r="1">
      <x v="4"/>
    </i>
    <i>
      <x v="2"/>
    </i>
    <i r="1">
      <x v="1"/>
    </i>
    <i r="1">
      <x v="2"/>
    </i>
    <i r="1">
      <x v="3"/>
    </i>
    <i r="1">
      <x v="4"/>
    </i>
  </rowItems>
  <colFields count="1">
    <field x="-2"/>
  </colFields>
  <colItems count="2">
    <i>
      <x/>
    </i>
    <i i="1">
      <x v="1"/>
    </i>
  </colItems>
  <dataFields count="2">
    <dataField name="Sum of Total Sales" fld="9" baseField="0" baseItem="0"/>
    <dataField name="Average of Operating Margin" fld="11" subtotal="average" baseField="13" baseItem="1"/>
  </dataFields>
  <formats count="13">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dataOnly="0" labelOnly="1" outline="0" fieldPosition="0">
        <references count="1">
          <reference field="4294967294" count="1">
            <x v="0"/>
          </reference>
        </references>
      </pivotArea>
    </format>
    <format dxfId="15">
      <pivotArea dataOnly="0" labelOnly="1" outline="0" fieldPosition="0">
        <references count="1">
          <reference field="4294967294" count="1">
            <x v="0"/>
          </reference>
        </references>
      </pivotArea>
    </format>
    <format dxfId="14">
      <pivotArea dataOnly="0" labelOnly="1" outline="0" fieldPosition="0">
        <references count="1">
          <reference field="4294967294" count="1">
            <x v="0"/>
          </reference>
        </references>
      </pivotArea>
    </format>
    <format dxfId="13">
      <pivotArea type="all" dataOnly="0" outline="0" fieldPosition="0"/>
    </format>
    <format dxfId="12">
      <pivotArea outline="0" collapsedLevelsAreSubtotals="1" fieldPosition="0"/>
    </format>
    <format dxfId="11">
      <pivotArea field="0" type="button" dataOnly="0" labelOnly="1" outline="0"/>
    </format>
    <format dxfId="10">
      <pivotArea dataOnly="0" labelOnly="1" grandRow="1" outline="0" fieldPosition="0"/>
    </format>
    <format dxfId="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filters count="1">
    <filter fld="2" type="dateBetween" evalOrder="-1" id="120"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1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52:E59" firstHeaderRow="1" firstDataRow="2" firstDataCol="1"/>
  <pivotFields count="14">
    <pivotField axis="axisRow" showAll="0" sortType="descending">
      <items count="7">
        <item x="1"/>
        <item x="0"/>
        <item x="2"/>
        <item x="5"/>
        <item x="3"/>
        <item x="4"/>
        <item t="default"/>
      </items>
      <autoSortScope>
        <pivotArea dataOnly="0" outline="0" fieldPosition="0">
          <references count="1">
            <reference field="4294967294" count="1" selected="0">
              <x v="0"/>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showAll="0">
      <items count="6">
        <item x="3"/>
        <item h="1" x="0"/>
        <item h="1" x="1"/>
        <item h="1" x="4"/>
        <item h="1" x="2"/>
        <item t="default"/>
      </items>
    </pivotField>
    <pivotField showAll="0"/>
    <pivotField showAll="0"/>
    <pivotField showAll="0"/>
    <pivotField numFmtId="8" showAll="0"/>
    <pivotField numFmtId="3" showAll="0"/>
    <pivotField dataField="1" numFmtId="6" showAll="0"/>
    <pivotField numFmtId="6" showAll="0"/>
    <pivotField numFmtId="9" showAll="0"/>
    <pivotField showAll="0" defaultSubtotal="0">
      <items count="6">
        <item x="0"/>
        <item x="1"/>
        <item x="2"/>
        <item x="3"/>
        <item x="4"/>
        <item x="5"/>
      </items>
    </pivotField>
    <pivotField axis="axisCol" showAll="0" defaultSubtotal="0">
      <items count="5">
        <item x="0"/>
        <item n=" " x="1"/>
        <item x="2"/>
        <item x="3"/>
        <item x="4"/>
      </items>
    </pivotField>
  </pivotFields>
  <rowFields count="1">
    <field x="0"/>
  </rowFields>
  <rowItems count="6">
    <i>
      <x v="1"/>
    </i>
    <i>
      <x v="2"/>
    </i>
    <i>
      <x v="5"/>
    </i>
    <i>
      <x v="3"/>
    </i>
    <i>
      <x/>
    </i>
    <i t="grand">
      <x/>
    </i>
  </rowItems>
  <colFields count="1">
    <field x="13"/>
  </colFields>
  <colItems count="3">
    <i>
      <x v="1"/>
    </i>
    <i>
      <x v="2"/>
    </i>
    <i t="grand">
      <x/>
    </i>
  </colItems>
  <dataFields count="1">
    <dataField name="Sum of Total Sales" fld="9" baseField="0" baseItem="0"/>
  </dataFields>
  <formats count="14">
    <format dxfId="35">
      <pivotArea outline="0" collapsedLevelsAreSubtotals="1" fieldPosition="0"/>
    </format>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dataOnly="0" labelOnly="1" outline="0" fieldPosition="0">
        <references count="1">
          <reference field="4294967294" count="1">
            <x v="0"/>
          </reference>
        </references>
      </pivotArea>
    </format>
    <format dxfId="29">
      <pivotArea dataOnly="0" labelOnly="1" outline="0" fieldPosition="0">
        <references count="1">
          <reference field="4294967294" count="1">
            <x v="0"/>
          </reference>
        </references>
      </pivotArea>
    </format>
    <format dxfId="28">
      <pivotArea dataOnly="0" labelOnly="1" outline="0" fieldPosition="0">
        <references count="1">
          <reference field="4294967294" count="1">
            <x v="0"/>
          </reference>
        </references>
      </pivotArea>
    </format>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filters count="1">
    <filter fld="2" type="dateBetween" evalOrder="-1" id="120"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18:B19"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h="1" x="0"/>
        <item h="1" x="1"/>
        <item h="1" x="4"/>
        <item h="1" x="2"/>
        <item t="default"/>
      </items>
    </pivotField>
    <pivotField showAll="0"/>
    <pivotField showAll="0"/>
    <pivotField showAll="0"/>
    <pivotField numFmtId="8" showAll="0"/>
    <pivotField numFmtId="3" showAll="0"/>
    <pivotField numFmtId="6" showAll="0"/>
    <pivotField dataField="1" numFmtId="6"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Average of Operating Profit" fld="10" subtotal="average" baseField="0" baseItem="1" numFmtId="165"/>
  </dataFields>
  <formats count="6">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s>
  <pivotTableStyleInfo name="PivotStyleLight16" showRowHeaders="1" showColHeaders="1" showRowStripes="0" showColStripes="0" showLastColumn="1"/>
  <filters count="1">
    <filter fld="2" type="dateBetween" evalOrder="-1" id="120"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41:E49" firstHeaderRow="1" firstDataRow="2"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h="1" x="0"/>
        <item h="1" x="1"/>
        <item h="1" x="4"/>
        <item h="1" x="2"/>
        <item t="default"/>
      </items>
    </pivotField>
    <pivotField showAll="0"/>
    <pivotField showAll="0"/>
    <pivotField axis="axisRow"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defaultSubtotal="0">
      <items count="6">
        <item sd="0" x="0"/>
        <item sd="0" x="1"/>
        <item sd="0" x="2"/>
        <item sd="0" x="3"/>
        <item sd="0" x="4"/>
        <item sd="0" x="5"/>
      </items>
    </pivotField>
    <pivotField axis="axisCol" showAll="0" defaultSubtotal="0">
      <items count="5">
        <item sd="0" x="0"/>
        <item x="1"/>
        <item sd="0" x="2"/>
        <item sd="0" x="3"/>
        <item sd="0" x="4"/>
      </items>
    </pivotField>
  </pivotFields>
  <rowFields count="1">
    <field x="6"/>
  </rowFields>
  <rowItems count="7">
    <i>
      <x/>
    </i>
    <i>
      <x v="1"/>
    </i>
    <i>
      <x v="2"/>
    </i>
    <i>
      <x v="3"/>
    </i>
    <i>
      <x v="4"/>
    </i>
    <i>
      <x v="5"/>
    </i>
    <i t="grand">
      <x/>
    </i>
  </rowItems>
  <colFields count="1">
    <field x="13"/>
  </colFields>
  <colItems count="3">
    <i>
      <x v="1"/>
    </i>
    <i>
      <x v="2"/>
    </i>
    <i t="grand">
      <x/>
    </i>
  </colItems>
  <dataFields count="1">
    <dataField name="Sum of Total Sales" fld="9" baseField="0" baseItem="0"/>
  </dataFields>
  <formats count="9">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type="all" dataOnly="0" outline="0" fieldPosition="0"/>
    </format>
    <format dxfId="44">
      <pivotArea outline="0" collapsedLevelsAreSubtotals="1" fieldPosition="0"/>
    </format>
    <format dxfId="43">
      <pivotArea dataOnly="0" labelOnly="1" outline="0" axis="axisValues" fieldPosition="0"/>
    </format>
    <format dxfId="42">
      <pivotArea dataOnly="0" labelOnly="1" outline="0" axis="axisValues" fieldPosition="0"/>
    </format>
  </formats>
  <pivotTableStyleInfo name="PivotStyleLight16" showRowHeaders="1" showColHeaders="1" showRowStripes="0" showColStripes="0" showLastColumn="1"/>
  <filters count="1">
    <filter fld="2" type="dateBetween" evalOrder="-1" id="120"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14:B15"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h="1" x="0"/>
        <item h="1" x="1"/>
        <item h="1" x="4"/>
        <item h="1" x="2"/>
        <item t="default"/>
      </items>
    </pivotField>
    <pivotField showAll="0"/>
    <pivotField showAll="0"/>
    <pivotField showAll="0"/>
    <pivotField numFmtId="8" showAll="0"/>
    <pivotField numFmtId="3" showAll="0"/>
    <pivotField dataField="1" numFmtId="6" showAll="0"/>
    <pivotField numFmtId="6"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Sum of Total Sales" fld="9" baseField="0" baseItem="0" numFmtId="165"/>
  </dataFields>
  <formats count="2">
    <format dxfId="52">
      <pivotArea outline="0" collapsedLevelsAreSubtotals="1" fieldPosition="0"/>
    </format>
    <format dxfId="51">
      <pivotArea outline="0" collapsedLevelsAreSubtotals="1" fieldPosition="0"/>
    </format>
  </formats>
  <pivotTableStyleInfo name="PivotStyleLight16" showRowHeaders="1" showColHeaders="1" showRowStripes="0" showColStripes="0" showLastColumn="1"/>
  <filters count="1">
    <filter fld="2" type="dateBetween" evalOrder="-1" id="120"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30:D36" firstHeaderRow="0" firstDataRow="1" firstDataCol="1"/>
  <pivotFields count="14">
    <pivotField axis="axisRow" showAll="0" sortType="descending">
      <items count="7">
        <item x="1"/>
        <item x="0"/>
        <item x="2"/>
        <item x="5"/>
        <item x="3"/>
        <item x="4"/>
        <item t="default"/>
      </items>
      <autoSortScope>
        <pivotArea dataOnly="0" outline="0" fieldPosition="0">
          <references count="1">
            <reference field="4294967294" count="1" selected="0">
              <x v="1"/>
            </reference>
          </references>
        </pivotArea>
      </autoSortScope>
    </pivotField>
    <pivotField showAll="0"/>
    <pivotField numFmtId="14" showAll="0">
      <items count="15">
        <item x="0"/>
        <item x="1"/>
        <item x="2"/>
        <item x="3"/>
        <item x="4"/>
        <item x="5"/>
        <item x="6"/>
        <item x="7"/>
        <item x="8"/>
        <item x="9"/>
        <item x="10"/>
        <item x="11"/>
        <item x="12"/>
        <item x="13"/>
        <item t="default"/>
      </items>
    </pivotField>
    <pivotField showAll="0">
      <items count="6">
        <item x="3"/>
        <item h="1" x="0"/>
        <item h="1" x="1"/>
        <item h="1" x="4"/>
        <item h="1" x="2"/>
        <item t="default"/>
      </items>
    </pivotField>
    <pivotField showAll="0"/>
    <pivotField showAll="0"/>
    <pivotField showAll="0"/>
    <pivotField numFmtId="8" showAll="0"/>
    <pivotField dataField="1" numFmtId="3" showAll="0"/>
    <pivotField dataField="1" numFmtId="6" showAll="0"/>
    <pivotField numFmtId="6" showAll="0"/>
    <pivotField numFmtId="9" showAll="0"/>
    <pivotField showAll="0" defaultSubtotal="0">
      <items count="6">
        <item x="0"/>
        <item x="1"/>
        <item x="2"/>
        <item x="3"/>
        <item x="4"/>
        <item x="5"/>
      </items>
    </pivotField>
    <pivotField showAll="0" defaultSubtotal="0">
      <items count="5">
        <item x="0"/>
        <item x="1"/>
        <item x="2"/>
        <item x="3"/>
        <item x="4"/>
      </items>
    </pivotField>
  </pivotFields>
  <rowFields count="1">
    <field x="0"/>
  </rowFields>
  <rowItems count="6">
    <i>
      <x v="1"/>
    </i>
    <i>
      <x v="2"/>
    </i>
    <i>
      <x v="5"/>
    </i>
    <i>
      <x v="3"/>
    </i>
    <i>
      <x/>
    </i>
    <i t="grand">
      <x/>
    </i>
  </rowItems>
  <colFields count="1">
    <field x="-2"/>
  </colFields>
  <colItems count="2">
    <i>
      <x/>
    </i>
    <i i="1">
      <x v="1"/>
    </i>
  </colItems>
  <dataFields count="2">
    <dataField name="Count of Units Sold" fld="8" subtotal="count" baseField="0" baseItem="0"/>
    <dataField name="Sum of Total Sales" fld="9" baseField="0" baseItem="0"/>
  </dataFields>
  <formats count="14">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outline="0" collapsedLevelsAreSubtotals="1" fieldPosition="0"/>
    </format>
    <format dxfId="62">
      <pivotArea outline="0" collapsedLevelsAreSubtotals="1" fieldPosition="0"/>
    </format>
    <format dxfId="61">
      <pivotArea dataOnly="0" labelOnly="1" outline="0" fieldPosition="0">
        <references count="1">
          <reference field="4294967294" count="2">
            <x v="0"/>
            <x v="1"/>
          </reference>
        </references>
      </pivotArea>
    </format>
    <format dxfId="60">
      <pivotArea dataOnly="0" labelOnly="1" outline="0" fieldPosition="0">
        <references count="1">
          <reference field="4294967294" count="2">
            <x v="0"/>
            <x v="1"/>
          </reference>
        </references>
      </pivotArea>
    </format>
    <format dxfId="59">
      <pivotArea dataOnly="0" labelOnly="1" outline="0" fieldPosition="0">
        <references count="1">
          <reference field="4294967294" count="2">
            <x v="0"/>
            <x v="1"/>
          </reference>
        </references>
      </pivotArea>
    </format>
    <format dxfId="58">
      <pivotArea type="all" dataOnly="0" outline="0" fieldPosition="0"/>
    </format>
    <format dxfId="57">
      <pivotArea outline="0" collapsedLevelsAreSubtotals="1" fieldPosition="0"/>
    </format>
    <format dxfId="56">
      <pivotArea field="0" type="button" dataOnly="0" labelOnly="1" outline="0" axis="axisRow" fieldPosition="0"/>
    </format>
    <format dxfId="55">
      <pivotArea dataOnly="0" labelOnly="1" fieldPosition="0">
        <references count="1">
          <reference field="0" count="0"/>
        </references>
      </pivotArea>
    </format>
    <format dxfId="54">
      <pivotArea dataOnly="0" labelOnly="1" grandRow="1" outline="0" fieldPosition="0"/>
    </format>
    <format dxfId="5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2" type="dateBetween" evalOrder="-1" id="120"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7"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25:B26"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h="1" x="0"/>
        <item h="1" x="1"/>
        <item h="1" x="4"/>
        <item h="1" x="2"/>
        <item t="default"/>
      </items>
    </pivotField>
    <pivotField showAll="0"/>
    <pivotField showAll="0"/>
    <pivotField showAll="0"/>
    <pivotField numFmtId="8" showAll="0"/>
    <pivotField dataField="1" numFmtId="3" showAll="0"/>
    <pivotField numFmtId="6" showAll="0"/>
    <pivotField numFmtId="6"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Count of Units Sold" fld="8" subtotal="count" baseField="0" baseItem="1218371232" numFmtId="165"/>
  </dataFields>
  <formats count="9">
    <format dxfId="75">
      <pivotArea outline="0" collapsedLevelsAreSubtotals="1" fieldPosition="0"/>
    </format>
    <format dxfId="74">
      <pivotArea outline="0" collapsedLevelsAreSubtotals="1" fieldPosition="0"/>
    </format>
    <format dxfId="73">
      <pivotArea outline="0" collapsedLevelsAreSubtotals="1" fieldPosition="0"/>
    </format>
    <format dxfId="72">
      <pivotArea outline="0" collapsedLevelsAreSubtotals="1" fieldPosition="0"/>
    </format>
    <format dxfId="71">
      <pivotArea outline="0" collapsedLevelsAreSubtotals="1" fieldPosition="0"/>
    </format>
    <format dxfId="70">
      <pivotArea type="all" dataOnly="0" outline="0" fieldPosition="0"/>
    </format>
    <format dxfId="69">
      <pivotArea outline="0" collapsedLevelsAreSubtotals="1" fieldPosition="0"/>
    </format>
    <format dxfId="68">
      <pivotArea dataOnly="0" labelOnly="1" outline="0" axis="axisValues" fieldPosition="0"/>
    </format>
    <format dxfId="67">
      <pivotArea dataOnly="0" labelOnly="1" outline="0" axis="axisValues" fieldPosition="0"/>
    </format>
  </formats>
  <pivotTableStyleInfo name="PivotStyleLight16" showRowHeaders="1" showColHeaders="1" showRowStripes="0" showColStripes="0" showLastColumn="1"/>
  <filters count="1">
    <filter fld="2" type="dateBetween" evalOrder="-1" id="120"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5" name="PivotTable12"/>
    <pivotTable tabId="5" name="PivotTable11"/>
    <pivotTable tabId="5" name="PivotTable13"/>
    <pivotTable tabId="5" name="PivotTable14"/>
    <pivotTable tabId="5" name="PivotTable2"/>
    <pivotTable tabId="5" name="PivotTable3"/>
    <pivotTable tabId="5" name="PivotTable6"/>
    <pivotTable tabId="5" name="PivotTable7"/>
    <pivotTable tabId="7" name="PivotTable1"/>
  </pivotTables>
  <data>
    <tabular pivotCacheId="1">
      <items count="5">
        <i x="3" s="1"/>
        <i x="0"/>
        <i x="1"/>
        <i x="4"/>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3000000}"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000000-0014-0000-FFFF-FFFF01000000}"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4:M9653" totalsRowCount="1" headerRowDxfId="102" dataDxfId="101" tableBorderDxfId="100">
  <autoFilter ref="B4:M9652" xr:uid="{00000000-0009-0000-0100-000001000000}"/>
  <tableColumns count="12">
    <tableColumn id="1" xr3:uid="{00000000-0010-0000-0000-000001000000}" name="Retailer" dataDxfId="99" totalsRowDxfId="98"/>
    <tableColumn id="2" xr3:uid="{00000000-0010-0000-0000-000002000000}" name="Retailer ID" totalsRowFunction="custom" dataDxfId="97" totalsRowDxfId="96">
      <totalsRowFormula>SUM(C5:C9652)</totalsRowFormula>
    </tableColumn>
    <tableColumn id="3" xr3:uid="{00000000-0010-0000-0000-000003000000}" name="Invoice Date" dataDxfId="95" totalsRowDxfId="94"/>
    <tableColumn id="4" xr3:uid="{00000000-0010-0000-0000-000004000000}" name="Region" dataDxfId="93" totalsRowDxfId="92"/>
    <tableColumn id="5" xr3:uid="{00000000-0010-0000-0000-000005000000}" name="State" dataDxfId="91" totalsRowDxfId="90"/>
    <tableColumn id="6" xr3:uid="{00000000-0010-0000-0000-000006000000}" name="City" dataDxfId="89" totalsRowDxfId="88"/>
    <tableColumn id="7" xr3:uid="{00000000-0010-0000-0000-000007000000}" name="Beverage Brand" dataDxfId="87" totalsRowDxfId="86"/>
    <tableColumn id="8" xr3:uid="{00000000-0010-0000-0000-000008000000}" name="Price per Unit" totalsRowFunction="custom" dataDxfId="85" totalsRowDxfId="84">
      <totalsRowFormula>SUM(I5:I9652)</totalsRowFormula>
    </tableColumn>
    <tableColumn id="9" xr3:uid="{00000000-0010-0000-0000-000009000000}" name="Units Sold" totalsRowFunction="custom" dataDxfId="83" totalsRowDxfId="82">
      <totalsRowFormula>SUM(J5:J9652)</totalsRowFormula>
    </tableColumn>
    <tableColumn id="10" xr3:uid="{00000000-0010-0000-0000-00000A000000}" name="Total Sales" totalsRowFunction="custom" dataDxfId="81" totalsRowDxfId="80">
      <totalsRowFormula>SUM(K5:K9652)</totalsRowFormula>
    </tableColumn>
    <tableColumn id="11" xr3:uid="{00000000-0010-0000-0000-00000B000000}" name="Operating Profit" totalsRowFunction="custom" dataDxfId="79" totalsRowDxfId="78">
      <totalsRowFormula>SUM(L5:L9652)</totalsRowFormula>
    </tableColumn>
    <tableColumn id="12" xr3:uid="{00000000-0010-0000-0000-00000C000000}" name="Operating Margin" totalsRowFunction="custom" dataDxfId="77" totalsRowDxfId="76">
      <totalsRowFormula>SUM(M5:M9652)</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00000000-0013-0000-FFFF-FFFF02000000}" sourceName="Invoice Date">
  <pivotTables>
    <pivotTable tabId="5" name="PivotTable12"/>
    <pivotTable tabId="5" name="PivotTable11"/>
    <pivotTable tabId="5" name="PivotTable13"/>
    <pivotTable tabId="5" name="PivotTable14"/>
    <pivotTable tabId="5" name="PivotTable2"/>
    <pivotTable tabId="5" name="PivotTable3"/>
    <pivotTable tabId="5" name="PivotTable6"/>
    <pivotTable tabId="5" name="PivotTable7"/>
    <pivotTable tabId="7" name="PivotTable1"/>
  </pivotTables>
  <state minimalRefreshVersion="6" lastRefreshVersion="6" pivotCacheId="1" filterType="dateBetween">
    <selection startDate="2022-01-01T00:00:00" endDate="2023-12-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00000000-0014-0000-FFFF-FFFF04000000}" cache="NativeTimeline_Invoice_Date" caption="Invoice Date" level="0" selectionLevel="0"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1" xr10:uid="{00000000-0014-0000-FFFF-FFFF02000000}" cache="NativeTimeline_Invoice_Date" caption="Invoice Date" level="0" selectionLevel="0"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microsoft.com/office/2011/relationships/timeline" Target="../timelines/timeline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1.xml"/><Relationship Id="rId5" Type="http://schemas.openxmlformats.org/officeDocument/2006/relationships/pivotTable" Target="../pivotTables/pivotTable6.xml"/><Relationship Id="rId10" Type="http://schemas.openxmlformats.org/officeDocument/2006/relationships/drawing" Target="../drawings/drawing1.xml"/><Relationship Id="rId4" Type="http://schemas.openxmlformats.org/officeDocument/2006/relationships/pivotTable" Target="../pivotTables/pivotTable5.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20"/>
  <sheetViews>
    <sheetView workbookViewId="0">
      <selection activeCell="C42" sqref="C42"/>
    </sheetView>
  </sheetViews>
  <sheetFormatPr defaultRowHeight="15.75" x14ac:dyDescent="0.25"/>
  <sheetData>
    <row r="3" spans="1:3" x14ac:dyDescent="0.25">
      <c r="A3" s="16"/>
      <c r="B3" s="17"/>
      <c r="C3" s="18"/>
    </row>
    <row r="4" spans="1:3" x14ac:dyDescent="0.25">
      <c r="A4" s="19"/>
      <c r="B4" s="20"/>
      <c r="C4" s="21"/>
    </row>
    <row r="5" spans="1:3" x14ac:dyDescent="0.25">
      <c r="A5" s="19"/>
      <c r="B5" s="20"/>
      <c r="C5" s="21"/>
    </row>
    <row r="6" spans="1:3" x14ac:dyDescent="0.25">
      <c r="A6" s="19"/>
      <c r="B6" s="20"/>
      <c r="C6" s="21"/>
    </row>
    <row r="7" spans="1:3" x14ac:dyDescent="0.25">
      <c r="A7" s="19"/>
      <c r="B7" s="20"/>
      <c r="C7" s="21"/>
    </row>
    <row r="8" spans="1:3" x14ac:dyDescent="0.25">
      <c r="A8" s="19"/>
      <c r="B8" s="20"/>
      <c r="C8" s="21"/>
    </row>
    <row r="9" spans="1:3" x14ac:dyDescent="0.25">
      <c r="A9" s="19"/>
      <c r="B9" s="20"/>
      <c r="C9" s="21"/>
    </row>
    <row r="10" spans="1:3" x14ac:dyDescent="0.25">
      <c r="A10" s="19"/>
      <c r="B10" s="20"/>
      <c r="C10" s="21"/>
    </row>
    <row r="11" spans="1:3" x14ac:dyDescent="0.25">
      <c r="A11" s="19"/>
      <c r="B11" s="20"/>
      <c r="C11" s="21"/>
    </row>
    <row r="12" spans="1:3" x14ac:dyDescent="0.25">
      <c r="A12" s="19"/>
      <c r="B12" s="20"/>
      <c r="C12" s="21"/>
    </row>
    <row r="13" spans="1:3" x14ac:dyDescent="0.25">
      <c r="A13" s="19"/>
      <c r="B13" s="20"/>
      <c r="C13" s="21"/>
    </row>
    <row r="14" spans="1:3" x14ac:dyDescent="0.25">
      <c r="A14" s="19"/>
      <c r="B14" s="20"/>
      <c r="C14" s="21"/>
    </row>
    <row r="15" spans="1:3" x14ac:dyDescent="0.25">
      <c r="A15" s="19"/>
      <c r="B15" s="20"/>
      <c r="C15" s="21"/>
    </row>
    <row r="16" spans="1:3" x14ac:dyDescent="0.25">
      <c r="A16" s="19"/>
      <c r="B16" s="20"/>
      <c r="C16" s="21"/>
    </row>
    <row r="17" spans="1:3" x14ac:dyDescent="0.25">
      <c r="A17" s="19"/>
      <c r="B17" s="20"/>
      <c r="C17" s="21"/>
    </row>
    <row r="18" spans="1:3" x14ac:dyDescent="0.25">
      <c r="A18" s="19"/>
      <c r="B18" s="20"/>
      <c r="C18" s="21"/>
    </row>
    <row r="19" spans="1:3" x14ac:dyDescent="0.25">
      <c r="A19" s="19"/>
      <c r="B19" s="20"/>
      <c r="C19" s="21"/>
    </row>
    <row r="20" spans="1:3" x14ac:dyDescent="0.25">
      <c r="A20" s="22"/>
      <c r="B20" s="23"/>
      <c r="C20" s="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9653"/>
  <sheetViews>
    <sheetView zoomScaleNormal="100" workbookViewId="0">
      <selection activeCell="B5" sqref="B5:M9652"/>
    </sheetView>
  </sheetViews>
  <sheetFormatPr defaultColWidth="11.25" defaultRowHeight="15.75" x14ac:dyDescent="0.25"/>
  <cols>
    <col min="1" max="1" width="8.75" bestFit="1" customWidth="1"/>
    <col min="3" max="3" width="11.875" customWidth="1"/>
    <col min="4" max="4" width="10.375" customWidth="1"/>
    <col min="5" max="5" width="8.875" customWidth="1"/>
    <col min="6" max="6" width="13.875" bestFit="1" customWidth="1"/>
    <col min="7" max="7" width="12.75" bestFit="1" customWidth="1"/>
    <col min="8" max="8" width="12" customWidth="1"/>
    <col min="9" max="9" width="9.5" customWidth="1"/>
    <col min="10" max="10" width="9.875" customWidth="1"/>
    <col min="11" max="11" width="11.5" customWidth="1"/>
    <col min="12" max="12" width="10.5" customWidth="1"/>
    <col min="13" max="13" width="8.37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row r="9653" spans="2:13" x14ac:dyDescent="0.25">
      <c r="B9653" s="10"/>
      <c r="C9653" s="10">
        <f>SUM(C5:C9652)</f>
        <v>11325302133</v>
      </c>
      <c r="D9653" s="11"/>
      <c r="E9653" s="10"/>
      <c r="F9653" s="10"/>
      <c r="G9653" s="10"/>
      <c r="H9653" s="10"/>
      <c r="I9653" s="12">
        <f>SUM(I5:I9652)</f>
        <v>4362.4999999999754</v>
      </c>
      <c r="J9653" s="13">
        <f>SUM(J5:J9652)</f>
        <v>24788610</v>
      </c>
      <c r="K9653" s="14">
        <f>SUM(K5:K9652)</f>
        <v>12016664.999999965</v>
      </c>
      <c r="L9653" s="14">
        <f>SUM(L5:L9652)</f>
        <v>4722496.7700000061</v>
      </c>
      <c r="M9653" s="15">
        <f>SUM(M5:M9652)</f>
        <v>4081.0199999999486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3"/>
  <sheetViews>
    <sheetView topLeftCell="A32" zoomScale="70" zoomScaleNormal="70" workbookViewId="0">
      <selection activeCell="D53" sqref="D53:D59"/>
      <pivotSelection pane="bottomRight" showHeader="1" extendable="1" axis="axisCol" start="1" max="3" activeRow="52" activeCol="3" previousRow="52" previousCol="3" click="1" r:id="rId3">
        <pivotArea dataOnly="0" outline="0" fieldPosition="0">
          <references count="1">
            <reference field="13" count="1">
              <x v="2"/>
            </reference>
          </references>
        </pivotArea>
      </pivotSelection>
    </sheetView>
  </sheetViews>
  <sheetFormatPr defaultColWidth="8.75" defaultRowHeight="15.75" x14ac:dyDescent="0.25"/>
  <cols>
    <col min="1" max="1" width="14.375" bestFit="1" customWidth="1"/>
    <col min="2" max="2" width="18.75" customWidth="1"/>
    <col min="3" max="3" width="17.875" customWidth="1"/>
    <col min="4" max="4" width="27.5" customWidth="1"/>
    <col min="5" max="5" width="14.625" customWidth="1"/>
    <col min="6" max="6" width="24.125" customWidth="1"/>
    <col min="7" max="7" width="13.625" customWidth="1"/>
    <col min="8" max="8" width="12" customWidth="1"/>
    <col min="9" max="9" width="14.625" customWidth="1"/>
    <col min="10" max="10" width="10.375" customWidth="1"/>
    <col min="11" max="12" width="6.875" customWidth="1"/>
    <col min="13" max="13" width="10" customWidth="1"/>
    <col min="14" max="15" width="7.5" customWidth="1"/>
    <col min="16" max="16" width="10.625" customWidth="1"/>
    <col min="17" max="18" width="6.625" customWidth="1"/>
    <col min="19" max="19" width="9.75" customWidth="1"/>
    <col min="20" max="21" width="6" customWidth="1"/>
    <col min="22" max="22" width="9.125" customWidth="1"/>
    <col min="23" max="24" width="7.125" customWidth="1"/>
    <col min="25" max="25" width="10.25" customWidth="1"/>
    <col min="26" max="27" width="6.875" customWidth="1"/>
    <col min="28" max="28" width="10" customWidth="1"/>
    <col min="29" max="30" width="6.75" customWidth="1"/>
    <col min="31" max="31" width="9.875" customWidth="1"/>
    <col min="32" max="33" width="7.25" customWidth="1"/>
    <col min="34" max="34" width="10.375" customWidth="1"/>
    <col min="35" max="36" width="6.875" customWidth="1"/>
    <col min="37" max="37" width="10" customWidth="1"/>
    <col min="38" max="39" width="12.125" bestFit="1" customWidth="1"/>
  </cols>
  <sheetData>
    <row r="1" spans="1:2" x14ac:dyDescent="0.25">
      <c r="A1" t="s">
        <v>154</v>
      </c>
    </row>
    <row r="3" spans="1:2" x14ac:dyDescent="0.25">
      <c r="B3" s="30" t="s">
        <v>131</v>
      </c>
    </row>
    <row r="4" spans="1:2" x14ac:dyDescent="0.25">
      <c r="B4" t="s">
        <v>132</v>
      </c>
    </row>
    <row r="5" spans="1:2" x14ac:dyDescent="0.25">
      <c r="B5" t="s">
        <v>133</v>
      </c>
    </row>
    <row r="6" spans="1:2" x14ac:dyDescent="0.25">
      <c r="B6" t="s">
        <v>134</v>
      </c>
    </row>
    <row r="7" spans="1:2" x14ac:dyDescent="0.25">
      <c r="B7" t="s">
        <v>145</v>
      </c>
    </row>
    <row r="9" spans="1:2" x14ac:dyDescent="0.25">
      <c r="B9" s="30" t="s">
        <v>153</v>
      </c>
    </row>
    <row r="10" spans="1:2" x14ac:dyDescent="0.25">
      <c r="B10" t="s">
        <v>135</v>
      </c>
    </row>
    <row r="11" spans="1:2" x14ac:dyDescent="0.25">
      <c r="B11" t="s">
        <v>136</v>
      </c>
    </row>
    <row r="12" spans="1:2" x14ac:dyDescent="0.25">
      <c r="B12" t="s">
        <v>137</v>
      </c>
    </row>
    <row r="14" spans="1:2" x14ac:dyDescent="0.25">
      <c r="B14" t="s">
        <v>138</v>
      </c>
    </row>
    <row r="15" spans="1:2" x14ac:dyDescent="0.25">
      <c r="B15" s="25">
        <v>1667443.4000000008</v>
      </c>
    </row>
    <row r="18" spans="2:4" x14ac:dyDescent="0.25">
      <c r="B18" t="s">
        <v>139</v>
      </c>
    </row>
    <row r="19" spans="2:4" x14ac:dyDescent="0.25">
      <c r="B19" s="25">
        <v>366.45006570512811</v>
      </c>
    </row>
    <row r="20" spans="2:4" x14ac:dyDescent="0.25">
      <c r="B20" s="25"/>
    </row>
    <row r="21" spans="2:4" x14ac:dyDescent="0.25">
      <c r="B21" s="25"/>
    </row>
    <row r="22" spans="2:4" x14ac:dyDescent="0.25">
      <c r="B22" s="25" t="s">
        <v>140</v>
      </c>
    </row>
    <row r="23" spans="2:4" x14ac:dyDescent="0.25">
      <c r="B23" s="25">
        <v>0.4352724358974327</v>
      </c>
    </row>
    <row r="24" spans="2:4" x14ac:dyDescent="0.25">
      <c r="B24" s="25"/>
    </row>
    <row r="25" spans="2:4" x14ac:dyDescent="0.25">
      <c r="B25" s="25" t="s">
        <v>141</v>
      </c>
    </row>
    <row r="26" spans="2:4" x14ac:dyDescent="0.25">
      <c r="B26" s="25">
        <v>1872</v>
      </c>
    </row>
    <row r="29" spans="2:4" x14ac:dyDescent="0.25">
      <c r="B29" s="34" t="s">
        <v>142</v>
      </c>
      <c r="C29" s="29"/>
      <c r="D29" s="29"/>
    </row>
    <row r="30" spans="2:4" x14ac:dyDescent="0.25">
      <c r="B30" s="26" t="s">
        <v>143</v>
      </c>
      <c r="C30" s="25" t="s">
        <v>141</v>
      </c>
      <c r="D30" s="25" t="s">
        <v>138</v>
      </c>
    </row>
    <row r="31" spans="2:4" x14ac:dyDescent="0.25">
      <c r="B31" s="27" t="s">
        <v>20</v>
      </c>
      <c r="C31" s="25">
        <v>840</v>
      </c>
      <c r="D31" s="25">
        <v>588876.9</v>
      </c>
    </row>
    <row r="32" spans="2:4" x14ac:dyDescent="0.25">
      <c r="B32" s="27" t="s">
        <v>127</v>
      </c>
      <c r="C32" s="25">
        <v>286</v>
      </c>
      <c r="D32" s="25">
        <v>321961.59999999998</v>
      </c>
    </row>
    <row r="33" spans="2:5" x14ac:dyDescent="0.25">
      <c r="B33" s="27" t="s">
        <v>128</v>
      </c>
      <c r="C33" s="25">
        <v>366</v>
      </c>
      <c r="D33" s="25">
        <v>276623.59999999998</v>
      </c>
    </row>
    <row r="34" spans="2:5" x14ac:dyDescent="0.25">
      <c r="B34" s="27" t="s">
        <v>129</v>
      </c>
      <c r="C34" s="25">
        <v>244</v>
      </c>
      <c r="D34" s="25">
        <v>273136.5</v>
      </c>
    </row>
    <row r="35" spans="2:5" x14ac:dyDescent="0.25">
      <c r="B35" s="27" t="s">
        <v>130</v>
      </c>
      <c r="C35" s="25">
        <v>136</v>
      </c>
      <c r="D35" s="25">
        <v>206844.79999999999</v>
      </c>
    </row>
    <row r="36" spans="2:5" x14ac:dyDescent="0.25">
      <c r="B36" s="27" t="s">
        <v>144</v>
      </c>
      <c r="C36" s="25">
        <v>1872</v>
      </c>
      <c r="D36" s="25">
        <v>1667443.3999999994</v>
      </c>
    </row>
    <row r="40" spans="2:5" x14ac:dyDescent="0.25">
      <c r="B40" s="33" t="s">
        <v>156</v>
      </c>
    </row>
    <row r="41" spans="2:5" x14ac:dyDescent="0.25">
      <c r="B41" s="26" t="s">
        <v>138</v>
      </c>
      <c r="C41" s="26" t="s">
        <v>152</v>
      </c>
      <c r="D41" s="25"/>
      <c r="E41" s="25"/>
    </row>
    <row r="42" spans="2:5" x14ac:dyDescent="0.25">
      <c r="B42" s="26" t="s">
        <v>143</v>
      </c>
      <c r="C42" s="25" t="s">
        <v>146</v>
      </c>
      <c r="D42" s="25" t="s">
        <v>151</v>
      </c>
      <c r="E42" s="25" t="s">
        <v>144</v>
      </c>
    </row>
    <row r="43" spans="2:5" x14ac:dyDescent="0.25">
      <c r="B43" s="27" t="s">
        <v>14</v>
      </c>
      <c r="C43" s="25">
        <v>30454.600000000002</v>
      </c>
      <c r="D43" s="25">
        <v>440281.4</v>
      </c>
      <c r="E43" s="25">
        <v>470736</v>
      </c>
    </row>
    <row r="44" spans="2:5" x14ac:dyDescent="0.25">
      <c r="B44" s="27" t="s">
        <v>19</v>
      </c>
      <c r="C44" s="25">
        <v>18117.499999999993</v>
      </c>
      <c r="D44" s="25">
        <v>327183.29999999993</v>
      </c>
      <c r="E44" s="25">
        <v>345300.79999999993</v>
      </c>
    </row>
    <row r="45" spans="2:5" x14ac:dyDescent="0.25">
      <c r="B45" s="27" t="s">
        <v>15</v>
      </c>
      <c r="C45" s="25">
        <v>14351.200000000003</v>
      </c>
      <c r="D45" s="25">
        <v>247577.7</v>
      </c>
      <c r="E45" s="25">
        <v>261928.90000000002</v>
      </c>
    </row>
    <row r="46" spans="2:5" x14ac:dyDescent="0.25">
      <c r="B46" s="27" t="s">
        <v>17</v>
      </c>
      <c r="C46" s="25">
        <v>7460.4</v>
      </c>
      <c r="D46" s="25">
        <v>159893.90000000002</v>
      </c>
      <c r="E46" s="25">
        <v>167354.30000000002</v>
      </c>
    </row>
    <row r="47" spans="2:5" x14ac:dyDescent="0.25">
      <c r="B47" s="27" t="s">
        <v>18</v>
      </c>
      <c r="C47" s="25">
        <v>9122.9</v>
      </c>
      <c r="D47" s="25">
        <v>213255.7</v>
      </c>
      <c r="E47" s="25">
        <v>222378.6</v>
      </c>
    </row>
    <row r="48" spans="2:5" x14ac:dyDescent="0.25">
      <c r="B48" s="27" t="s">
        <v>16</v>
      </c>
      <c r="C48" s="25">
        <v>10885.199999999999</v>
      </c>
      <c r="D48" s="25">
        <v>188859.60000000003</v>
      </c>
      <c r="E48" s="25">
        <v>199744.80000000005</v>
      </c>
    </row>
    <row r="49" spans="2:7" x14ac:dyDescent="0.25">
      <c r="B49" s="27" t="s">
        <v>144</v>
      </c>
      <c r="C49" s="25">
        <v>90391.799999999988</v>
      </c>
      <c r="D49" s="25">
        <v>1577051.5999999999</v>
      </c>
      <c r="E49" s="25">
        <v>1667443.4000000001</v>
      </c>
    </row>
    <row r="50" spans="2:7" x14ac:dyDescent="0.25">
      <c r="B50" s="31"/>
      <c r="C50" s="29"/>
      <c r="D50" s="29"/>
    </row>
    <row r="51" spans="2:7" x14ac:dyDescent="0.25">
      <c r="B51" s="32" t="s">
        <v>155</v>
      </c>
    </row>
    <row r="52" spans="2:7" x14ac:dyDescent="0.25">
      <c r="B52" s="26" t="s">
        <v>138</v>
      </c>
      <c r="C52" s="26" t="s">
        <v>152</v>
      </c>
      <c r="D52" s="25"/>
      <c r="E52" s="25"/>
    </row>
    <row r="53" spans="2:7" x14ac:dyDescent="0.25">
      <c r="B53" s="26" t="s">
        <v>143</v>
      </c>
      <c r="C53" s="25" t="s">
        <v>162</v>
      </c>
      <c r="D53" s="25" t="s">
        <v>151</v>
      </c>
      <c r="E53" s="25" t="s">
        <v>144</v>
      </c>
    </row>
    <row r="54" spans="2:7" x14ac:dyDescent="0.25">
      <c r="B54" s="27" t="s">
        <v>20</v>
      </c>
      <c r="C54" s="25">
        <v>81141.499999999985</v>
      </c>
      <c r="D54" s="25">
        <v>507735.40000000014</v>
      </c>
      <c r="E54" s="25">
        <v>588876.90000000014</v>
      </c>
    </row>
    <row r="55" spans="2:7" x14ac:dyDescent="0.25">
      <c r="B55" s="27" t="s">
        <v>127</v>
      </c>
      <c r="C55" s="25"/>
      <c r="D55" s="25">
        <v>321961.59999999998</v>
      </c>
      <c r="E55" s="25">
        <v>321961.59999999998</v>
      </c>
    </row>
    <row r="56" spans="2:7" x14ac:dyDescent="0.25">
      <c r="B56" s="27" t="s">
        <v>128</v>
      </c>
      <c r="C56" s="25"/>
      <c r="D56" s="25">
        <v>276623.59999999998</v>
      </c>
      <c r="E56" s="25">
        <v>276623.59999999998</v>
      </c>
    </row>
    <row r="57" spans="2:7" x14ac:dyDescent="0.25">
      <c r="B57" s="27" t="s">
        <v>129</v>
      </c>
      <c r="C57" s="25">
        <v>9250.2999999999993</v>
      </c>
      <c r="D57" s="25">
        <v>263886.2</v>
      </c>
      <c r="E57" s="25">
        <v>273136.5</v>
      </c>
    </row>
    <row r="58" spans="2:7" x14ac:dyDescent="0.25">
      <c r="B58" s="27" t="s">
        <v>130</v>
      </c>
      <c r="C58" s="25"/>
      <c r="D58" s="25">
        <v>206844.79999999999</v>
      </c>
      <c r="E58" s="25">
        <v>206844.79999999999</v>
      </c>
    </row>
    <row r="59" spans="2:7" x14ac:dyDescent="0.25">
      <c r="B59" s="27" t="s">
        <v>144</v>
      </c>
      <c r="C59" s="25">
        <v>90391.799999999988</v>
      </c>
      <c r="D59" s="25">
        <v>1577051.6</v>
      </c>
      <c r="E59" s="25">
        <v>1667443.4000000004</v>
      </c>
    </row>
    <row r="62" spans="2:7" x14ac:dyDescent="0.25">
      <c r="B62" s="32" t="s">
        <v>157</v>
      </c>
    </row>
    <row r="63" spans="2:7" x14ac:dyDescent="0.25">
      <c r="B63" s="26" t="s">
        <v>143</v>
      </c>
      <c r="C63" s="25" t="s">
        <v>138</v>
      </c>
      <c r="D63" s="25" t="s">
        <v>140</v>
      </c>
    </row>
    <row r="64" spans="2:7" x14ac:dyDescent="0.25">
      <c r="B64" s="27" t="s">
        <v>146</v>
      </c>
      <c r="C64" s="25"/>
      <c r="D64" s="25"/>
      <c r="E64" s="25"/>
      <c r="F64" s="25"/>
      <c r="G64" s="25"/>
    </row>
    <row r="65" spans="2:8" x14ac:dyDescent="0.25">
      <c r="B65" s="28" t="s">
        <v>150</v>
      </c>
      <c r="C65" s="25">
        <v>90391.799999999988</v>
      </c>
      <c r="D65" s="25">
        <v>0.40812500000000002</v>
      </c>
      <c r="E65" s="25" t="str">
        <f>B64</f>
        <v>2022</v>
      </c>
      <c r="F65" s="25" t="str">
        <f>B65</f>
        <v>Qtr4</v>
      </c>
      <c r="G65" s="25">
        <f t="shared" ref="G65:H65" si="0">C65</f>
        <v>90391.799999999988</v>
      </c>
      <c r="H65" s="25">
        <f t="shared" si="0"/>
        <v>0.40812500000000002</v>
      </c>
    </row>
    <row r="66" spans="2:8" x14ac:dyDescent="0.25">
      <c r="B66" s="27" t="s">
        <v>151</v>
      </c>
      <c r="C66" s="25"/>
      <c r="D66" s="25"/>
      <c r="E66" s="25"/>
      <c r="F66" s="25" t="str">
        <f t="shared" ref="F66:F68" si="1">B66</f>
        <v>2023</v>
      </c>
      <c r="G66" s="25">
        <f t="shared" ref="G66:G68" si="2">C66</f>
        <v>0</v>
      </c>
      <c r="H66" s="25">
        <f t="shared" ref="H66:H68" si="3">D66</f>
        <v>0</v>
      </c>
    </row>
    <row r="67" spans="2:8" x14ac:dyDescent="0.25">
      <c r="B67" s="28" t="s">
        <v>147</v>
      </c>
      <c r="C67" s="25">
        <v>383459.10000000003</v>
      </c>
      <c r="D67" s="25">
        <v>0.4431837606837617</v>
      </c>
      <c r="E67" s="25"/>
      <c r="F67" s="25" t="str">
        <f t="shared" si="1"/>
        <v>Qtr1</v>
      </c>
      <c r="G67" s="25">
        <f t="shared" si="2"/>
        <v>383459.10000000003</v>
      </c>
      <c r="H67" s="25">
        <f t="shared" si="3"/>
        <v>0.4431837606837617</v>
      </c>
    </row>
    <row r="68" spans="2:8" x14ac:dyDescent="0.25">
      <c r="B68" s="28" t="s">
        <v>148</v>
      </c>
      <c r="C68" s="25">
        <v>355718.20000000007</v>
      </c>
      <c r="D68" s="25">
        <v>0.43741150442477966</v>
      </c>
      <c r="E68" s="25"/>
      <c r="F68" s="25" t="str">
        <f t="shared" si="1"/>
        <v>Qtr2</v>
      </c>
      <c r="G68" s="25">
        <f t="shared" si="2"/>
        <v>355718.20000000007</v>
      </c>
      <c r="H68" s="25">
        <f t="shared" si="3"/>
        <v>0.43741150442477966</v>
      </c>
    </row>
    <row r="69" spans="2:8" x14ac:dyDescent="0.25">
      <c r="B69" s="28" t="s">
        <v>149</v>
      </c>
      <c r="C69" s="25">
        <v>483622</v>
      </c>
      <c r="D69" s="25">
        <v>0.43716942148760407</v>
      </c>
      <c r="E69" s="25" t="str">
        <f>B69</f>
        <v>Qtr3</v>
      </c>
      <c r="F69" s="25" t="str">
        <f>B70</f>
        <v>Qtr4</v>
      </c>
      <c r="G69" s="25">
        <f t="shared" ref="G69:H69" si="4">C70</f>
        <v>354252.3</v>
      </c>
      <c r="H69" s="25">
        <f t="shared" si="4"/>
        <v>0.43009259259259203</v>
      </c>
    </row>
    <row r="70" spans="2:8" x14ac:dyDescent="0.25">
      <c r="B70" s="28" t="s">
        <v>150</v>
      </c>
      <c r="C70" s="25">
        <v>354252.3</v>
      </c>
      <c r="D70" s="25">
        <v>0.43009259259259203</v>
      </c>
      <c r="F70" s="25">
        <f t="shared" ref="F70:F72" si="5">B71</f>
        <v>0</v>
      </c>
      <c r="G70" s="25">
        <f t="shared" ref="G70:G72" si="6">C71</f>
        <v>0</v>
      </c>
      <c r="H70" s="25">
        <f t="shared" ref="H70:H72" si="7">D71</f>
        <v>0</v>
      </c>
    </row>
    <row r="71" spans="2:8" x14ac:dyDescent="0.25">
      <c r="E71" s="25"/>
      <c r="F71" s="25">
        <f t="shared" si="5"/>
        <v>0</v>
      </c>
      <c r="G71" s="25">
        <f t="shared" si="6"/>
        <v>0</v>
      </c>
      <c r="H71" s="25">
        <f t="shared" si="7"/>
        <v>0</v>
      </c>
    </row>
    <row r="72" spans="2:8" x14ac:dyDescent="0.25">
      <c r="E72" s="25"/>
      <c r="F72" s="25">
        <f t="shared" si="5"/>
        <v>0</v>
      </c>
      <c r="G72" s="25">
        <f t="shared" si="6"/>
        <v>0</v>
      </c>
      <c r="H72" s="25">
        <f t="shared" si="7"/>
        <v>0</v>
      </c>
    </row>
    <row r="73" spans="2:8" x14ac:dyDescent="0.25">
      <c r="E73" s="25"/>
      <c r="F73" s="25"/>
      <c r="G73" s="25"/>
    </row>
  </sheetData>
  <pageMargins left="0.7" right="0.7" top="0.75" bottom="0.75" header="0.3" footer="0.3"/>
  <pageSetup paperSize="9" orientation="portrait" r:id="rId9"/>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1"/>
  <sheetViews>
    <sheetView tabSelected="1" zoomScaleNormal="100" workbookViewId="0">
      <selection activeCell="N29" sqref="N29"/>
    </sheetView>
  </sheetViews>
  <sheetFormatPr defaultColWidth="11.25" defaultRowHeight="15.75" x14ac:dyDescent="0.25"/>
  <cols>
    <col min="1" max="1" width="31.375" style="43" customWidth="1"/>
    <col min="2" max="2" width="2.875" customWidth="1"/>
    <col min="3" max="5" width="11.625" customWidth="1"/>
    <col min="6" max="6" width="11.5" customWidth="1"/>
    <col min="7" max="7" width="2.625" customWidth="1"/>
    <col min="8" max="11" width="11.625" customWidth="1"/>
  </cols>
  <sheetData>
    <row r="1" spans="3:11" x14ac:dyDescent="0.25">
      <c r="C1" s="2"/>
    </row>
    <row r="11" spans="3:11" x14ac:dyDescent="0.25">
      <c r="C11" s="38"/>
      <c r="D11" s="37"/>
      <c r="E11" s="37"/>
      <c r="F11" s="37"/>
      <c r="H11" s="35"/>
      <c r="I11" s="35"/>
      <c r="J11" s="35"/>
      <c r="K11" s="35"/>
    </row>
    <row r="12" spans="3:11" x14ac:dyDescent="0.25">
      <c r="C12" s="40" t="s">
        <v>158</v>
      </c>
      <c r="D12" s="40" t="s">
        <v>159</v>
      </c>
      <c r="E12" s="40" t="s">
        <v>160</v>
      </c>
      <c r="F12" s="40" t="s">
        <v>161</v>
      </c>
      <c r="H12" s="39" t="s">
        <v>158</v>
      </c>
      <c r="I12" s="39" t="s">
        <v>159</v>
      </c>
      <c r="J12" s="39" t="s">
        <v>160</v>
      </c>
      <c r="K12" s="39" t="s">
        <v>161</v>
      </c>
    </row>
    <row r="13" spans="3:11" x14ac:dyDescent="0.25">
      <c r="C13" s="41" t="str">
        <f>Analyze!B43</f>
        <v>Coca-Cola</v>
      </c>
      <c r="D13" s="42">
        <f>Analyze!C43</f>
        <v>30454.600000000002</v>
      </c>
      <c r="E13" s="42">
        <f>Analyze!D43</f>
        <v>440281.4</v>
      </c>
      <c r="F13" s="44">
        <f>E13-D13</f>
        <v>409826.80000000005</v>
      </c>
      <c r="H13" s="41" t="str">
        <f>Analyze!B54</f>
        <v>BevCo</v>
      </c>
      <c r="I13" s="42">
        <f>Analyze!C54</f>
        <v>81141.499999999985</v>
      </c>
      <c r="J13" s="42">
        <f>Analyze!D54</f>
        <v>507735.40000000014</v>
      </c>
      <c r="K13" s="45">
        <f>J13-I13</f>
        <v>426593.90000000014</v>
      </c>
    </row>
    <row r="14" spans="3:11" x14ac:dyDescent="0.25">
      <c r="C14" s="41" t="str">
        <f>Analyze!B44</f>
        <v>Dasani Water</v>
      </c>
      <c r="D14" s="42">
        <f>Analyze!C44</f>
        <v>18117.499999999993</v>
      </c>
      <c r="E14" s="42">
        <f>Analyze!D44</f>
        <v>327183.29999999993</v>
      </c>
      <c r="F14" s="44">
        <f t="shared" ref="F14:F19" si="0">E14-D14</f>
        <v>309065.79999999993</v>
      </c>
      <c r="H14" s="41" t="str">
        <f>Analyze!B55</f>
        <v>FizzyCo</v>
      </c>
      <c r="I14" s="42">
        <f>Analyze!C55</f>
        <v>0</v>
      </c>
      <c r="J14" s="42">
        <f>Analyze!D55</f>
        <v>321961.59999999998</v>
      </c>
      <c r="K14" s="45">
        <f t="shared" ref="K14:K19" si="1">J14-I14</f>
        <v>321961.59999999998</v>
      </c>
    </row>
    <row r="15" spans="3:11" x14ac:dyDescent="0.25">
      <c r="C15" s="41" t="str">
        <f>Analyze!B45</f>
        <v>Diet Coke</v>
      </c>
      <c r="D15" s="42">
        <f>Analyze!C45</f>
        <v>14351.200000000003</v>
      </c>
      <c r="E15" s="42">
        <f>Analyze!D45</f>
        <v>247577.7</v>
      </c>
      <c r="F15" s="44">
        <f t="shared" si="0"/>
        <v>233226.5</v>
      </c>
      <c r="H15" s="41" t="str">
        <f>Analyze!B56</f>
        <v>West Soda</v>
      </c>
      <c r="I15" s="42">
        <f>Analyze!C56</f>
        <v>0</v>
      </c>
      <c r="J15" s="42">
        <f>Analyze!D56</f>
        <v>276623.59999999998</v>
      </c>
      <c r="K15" s="45">
        <f t="shared" si="1"/>
        <v>276623.59999999998</v>
      </c>
    </row>
    <row r="16" spans="3:11" x14ac:dyDescent="0.25">
      <c r="C16" s="41" t="str">
        <f>Analyze!B46</f>
        <v>Fanta</v>
      </c>
      <c r="D16" s="42">
        <f>Analyze!C46</f>
        <v>7460.4</v>
      </c>
      <c r="E16" s="42">
        <f>Analyze!D46</f>
        <v>159893.90000000002</v>
      </c>
      <c r="F16" s="44">
        <f t="shared" si="0"/>
        <v>152433.50000000003</v>
      </c>
      <c r="H16" s="41" t="str">
        <f>Analyze!B57</f>
        <v>Target</v>
      </c>
      <c r="I16" s="42">
        <f>Analyze!C57</f>
        <v>9250.2999999999993</v>
      </c>
      <c r="J16" s="42">
        <f>Analyze!D57</f>
        <v>263886.2</v>
      </c>
      <c r="K16" s="45">
        <f t="shared" si="1"/>
        <v>254635.90000000002</v>
      </c>
    </row>
    <row r="17" spans="3:11" x14ac:dyDescent="0.25">
      <c r="C17" s="41" t="str">
        <f>Analyze!B47</f>
        <v>Powerade</v>
      </c>
      <c r="D17" s="42">
        <f>Analyze!C47</f>
        <v>9122.9</v>
      </c>
      <c r="E17" s="42">
        <f>Analyze!D47</f>
        <v>213255.7</v>
      </c>
      <c r="F17" s="44">
        <f t="shared" si="0"/>
        <v>204132.80000000002</v>
      </c>
      <c r="H17" s="41" t="str">
        <f>Analyze!B58</f>
        <v>Amazon</v>
      </c>
      <c r="I17" s="42">
        <f>Analyze!C58</f>
        <v>0</v>
      </c>
      <c r="J17" s="42">
        <f>Analyze!D58</f>
        <v>206844.79999999999</v>
      </c>
      <c r="K17" s="45">
        <f t="shared" si="1"/>
        <v>206844.79999999999</v>
      </c>
    </row>
    <row r="18" spans="3:11" x14ac:dyDescent="0.25">
      <c r="C18" s="41" t="str">
        <f>Analyze!B48</f>
        <v>Sprite</v>
      </c>
      <c r="D18" s="42">
        <f>Analyze!C48</f>
        <v>10885.199999999999</v>
      </c>
      <c r="E18" s="42">
        <f>Analyze!D48</f>
        <v>188859.60000000003</v>
      </c>
      <c r="F18" s="44">
        <f t="shared" si="0"/>
        <v>177974.40000000002</v>
      </c>
      <c r="H18" s="41" t="str">
        <f>Analyze!B59</f>
        <v>Grand Total</v>
      </c>
      <c r="I18" s="42">
        <f>Analyze!C59</f>
        <v>90391.799999999988</v>
      </c>
      <c r="J18" s="42">
        <f>Analyze!D59</f>
        <v>1577051.6</v>
      </c>
      <c r="K18" s="45">
        <f t="shared" si="1"/>
        <v>1486659.8</v>
      </c>
    </row>
    <row r="19" spans="3:11" x14ac:dyDescent="0.25">
      <c r="C19" s="46" t="str">
        <f>Analyze!B49</f>
        <v>Grand Total</v>
      </c>
      <c r="D19" s="47">
        <f>Analyze!C49</f>
        <v>90391.799999999988</v>
      </c>
      <c r="E19" s="48">
        <f>Analyze!D49</f>
        <v>1577051.5999999999</v>
      </c>
      <c r="F19" s="49">
        <f t="shared" si="0"/>
        <v>1486659.7999999998</v>
      </c>
      <c r="G19" s="46"/>
      <c r="H19" s="46">
        <f>Analyze!B60</f>
        <v>0</v>
      </c>
      <c r="I19" s="48">
        <f>Analyze!C60</f>
        <v>0</v>
      </c>
      <c r="J19" s="48">
        <f>Analyze!D60</f>
        <v>0</v>
      </c>
      <c r="K19" s="50">
        <f t="shared" si="1"/>
        <v>0</v>
      </c>
    </row>
    <row r="21" spans="3:11" x14ac:dyDescent="0.25">
      <c r="C21" s="36"/>
    </row>
  </sheetData>
  <conditionalFormatting sqref="F13:F18">
    <cfRule type="dataBar" priority="2">
      <dataBar>
        <cfvo type="min"/>
        <cfvo type="max"/>
        <color rgb="FF638EC6"/>
      </dataBar>
      <extLst>
        <ext xmlns:x14="http://schemas.microsoft.com/office/spreadsheetml/2009/9/main" uri="{B025F937-C7B1-47D3-B67F-A62EFF666E3E}">
          <x14:id>{A56565DE-278B-428A-808F-251A3CEABE49}</x14:id>
        </ext>
      </extLst>
    </cfRule>
  </conditionalFormatting>
  <conditionalFormatting sqref="K13:K18">
    <cfRule type="dataBar" priority="1">
      <dataBar>
        <cfvo type="min"/>
        <cfvo type="max"/>
        <color rgb="FF638EC6"/>
      </dataBar>
      <extLst>
        <ext xmlns:x14="http://schemas.microsoft.com/office/spreadsheetml/2009/9/main" uri="{B025F937-C7B1-47D3-B67F-A62EFF666E3E}">
          <x14:id>{25D16071-BE96-478A-85FE-7C9230E0FB95}</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56565DE-278B-428A-808F-251A3CEABE49}">
            <x14:dataBar minLength="0" maxLength="100" border="1" negativeBarBorderColorSameAsPositive="0">
              <x14:cfvo type="autoMin"/>
              <x14:cfvo type="autoMax"/>
              <x14:borderColor rgb="FF638EC6"/>
              <x14:negativeFillColor rgb="FFFF0000"/>
              <x14:negativeBorderColor rgb="FFFF0000"/>
              <x14:axisColor rgb="FF000000"/>
            </x14:dataBar>
          </x14:cfRule>
          <xm:sqref>F13:F18</xm:sqref>
        </x14:conditionalFormatting>
        <x14:conditionalFormatting xmlns:xm="http://schemas.microsoft.com/office/excel/2006/main">
          <x14:cfRule type="dataBar" id="{25D16071-BE96-478A-85FE-7C9230E0FB95}">
            <x14:dataBar minLength="0" maxLength="100" border="1" negativeBarBorderColorSameAsPositive="0">
              <x14:cfvo type="autoMin"/>
              <x14:cfvo type="autoMax"/>
              <x14:borderColor rgb="FF638EC6"/>
              <x14:negativeFillColor rgb="FFFF0000"/>
              <x14:negativeBorderColor rgb="FFFF0000"/>
              <x14:axisColor rgb="FF000000"/>
            </x14:dataBar>
          </x14:cfRule>
          <xm:sqref>K13:K18</xm:sqref>
        </x14:conditionalFormatting>
      </x14:conditionalFormatting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solanamanalo@outlook.com</cp:lastModifiedBy>
  <dcterms:created xsi:type="dcterms:W3CDTF">2023-12-18T11:08:00Z</dcterms:created>
  <dcterms:modified xsi:type="dcterms:W3CDTF">2026-03-17T15:08:20Z</dcterms:modified>
</cp:coreProperties>
</file>