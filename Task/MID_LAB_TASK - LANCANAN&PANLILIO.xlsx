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einer\Downloads\"/>
    </mc:Choice>
  </mc:AlternateContent>
  <xr:revisionPtr revIDLastSave="0" documentId="13_ncr:1_{76F7D425-5301-4BFB-AB3B-8F99FF359F68}" xr6:coauthVersionLast="47" xr6:coauthVersionMax="47" xr10:uidLastSave="{00000000-0000-0000-0000-000000000000}"/>
  <bookViews>
    <workbookView xWindow="-110" yWindow="-110" windowWidth="19420" windowHeight="10560" tabRatio="599" activeTab="5" xr2:uid="{00000000-000D-0000-FFFF-FFFF00000000}"/>
  </bookViews>
  <sheets>
    <sheet name="state_dim" sheetId="6" r:id="rId1"/>
    <sheet name="country_dim" sheetId="5" r:id="rId2"/>
    <sheet name="customer_dim" sheetId="3" r:id="rId3"/>
    <sheet name="sales_fact" sheetId="2" r:id="rId4"/>
    <sheet name="prod_dim" sheetId="10" r:id="rId5"/>
    <sheet name="prod_sim2" sheetId="12" r:id="rId6"/>
    <sheet name="Bike Sales" sheetId="1" r:id="rId7"/>
  </sheets>
  <definedNames>
    <definedName name="_xlcn.WorksheetConnection_CLEANEDDATALANCANANPANLILIO.xlsxcountry_dim1" hidden="1">country_dim[]</definedName>
    <definedName name="_xlcn.WorksheetConnection_CLEANEDDATALANCANANPANLILIO.xlsxcustomer_dim1" hidden="1">customer_dim[]</definedName>
    <definedName name="_xlcn.WorksheetConnection_CLEANEDDATALANCANANPANLILIO.xlsxsales_fact1" hidden="1">sales_fact!$A$1:$M$89</definedName>
    <definedName name="_xlcn.WorksheetConnection_CLEANEDDATALANCANANPANLILIO.xlsxstate_dim1" hidden="1">state_dim[]</definedName>
    <definedName name="_xlcn.WorksheetConnection_CLEANEDDATALANCANANPANLILIOversion1.xlsbproduct_dim1" hidden="1">product_dim[]</definedName>
    <definedName name="_xlcn.WorksheetConnection_waitlang.xlsxSubprod_dim1" hidden="1">Subprod_dim[]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tate_dim" name="state_dim" connection="WorksheetConnection_CLEANED DATA - LANCANAN&amp;PANLILIO.xlsx!state_dim"/>
          <x15:modelTable id="sales_fact" name="sales_fact" connection="WorksheetConnection_CLEANED DATA - LANCANAN&amp;PANLILIO.xlsx!sales_fact"/>
          <x15:modelTable id="customer_dim" name="customer_dim" connection="WorksheetConnection_CLEANED DATA - LANCANAN&amp;PANLILIO.xlsx!customer_dim"/>
          <x15:modelTable id="country_dim" name="country_dim" connection="WorksheetConnection_CLEANED DATA - LANCANAN&amp;PANLILIO.xlsx!country_dim"/>
          <x15:modelTable id="product_dim" name="product_dim" connection="WorksheetConnection_CLEANED DATA - LANCANAN&amp;PANLILIO (version 1).xlsb!product_dim"/>
          <x15:modelTable id="Subprod_dim" name="Subprod_dim" connection="WorksheetConnection_waitlang.xlsx!Subprod_dim"/>
        </x15:modelTables>
        <x15:modelRelationships>
          <x15:modelRelationship fromTable="sales_fact" fromColumn="state_id" toTable="state_dim" toColumn="state_id"/>
          <x15:modelRelationship fromTable="sales_fact" fromColumn="country_id" toTable="country_dim" toColumn="country_id"/>
          <x15:modelRelationship fromTable="sales_fact" fromColumn="customer_id" toTable="customer_dim" toColumn="customer_id"/>
          <x15:modelRelationship fromTable="sales_fact" fromColumn="prod_id" toTable="product_dim" toColumn="prod_id"/>
          <x15:modelRelationship fromTable="Subprod_dim" fromColumn="subCat_id" toTable="product_dim" toColumn="subCat_id"/>
        </x15:modelRelationships>
      </x15:dataModel>
    </ext>
  </extLst>
</workbook>
</file>

<file path=xl/calcChain.xml><?xml version="1.0" encoding="utf-8"?>
<calcChain xmlns="http://schemas.openxmlformats.org/spreadsheetml/2006/main">
  <c r="M89" i="2" l="1"/>
  <c r="L89" i="2"/>
  <c r="M88" i="2"/>
  <c r="L88" i="2"/>
  <c r="M87" i="2"/>
  <c r="L87" i="2"/>
  <c r="M86" i="2"/>
  <c r="L86" i="2"/>
  <c r="M85" i="2"/>
  <c r="L85" i="2"/>
  <c r="M84" i="2"/>
  <c r="L84" i="2"/>
  <c r="M83" i="2"/>
  <c r="L83" i="2"/>
  <c r="M82" i="2"/>
  <c r="L82" i="2"/>
  <c r="M81" i="2"/>
  <c r="L81" i="2"/>
  <c r="M80" i="2"/>
  <c r="L80" i="2"/>
  <c r="M79" i="2"/>
  <c r="L79" i="2"/>
  <c r="M78" i="2"/>
  <c r="L78" i="2"/>
  <c r="M77" i="2"/>
  <c r="L77" i="2"/>
  <c r="M76" i="2"/>
  <c r="L76" i="2"/>
  <c r="M75" i="2"/>
  <c r="L75" i="2"/>
  <c r="M74" i="2"/>
  <c r="L74" i="2"/>
  <c r="M73" i="2"/>
  <c r="L73" i="2"/>
  <c r="M72" i="2"/>
  <c r="L72" i="2"/>
  <c r="M71" i="2"/>
  <c r="L71" i="2"/>
  <c r="M70" i="2"/>
  <c r="L70" i="2"/>
  <c r="M69" i="2"/>
  <c r="L69" i="2"/>
  <c r="M68" i="2"/>
  <c r="L68" i="2"/>
  <c r="M67" i="2"/>
  <c r="L67" i="2"/>
  <c r="M66" i="2"/>
  <c r="L66" i="2"/>
  <c r="M65" i="2"/>
  <c r="L65" i="2"/>
  <c r="M64" i="2"/>
  <c r="L64" i="2"/>
  <c r="M63" i="2"/>
  <c r="L63" i="2"/>
  <c r="M62" i="2"/>
  <c r="L62" i="2"/>
  <c r="M61" i="2"/>
  <c r="L61" i="2"/>
  <c r="M60" i="2"/>
  <c r="L60" i="2"/>
  <c r="M59" i="2"/>
  <c r="L59" i="2"/>
  <c r="M58" i="2"/>
  <c r="L58" i="2"/>
  <c r="M57" i="2"/>
  <c r="L57" i="2"/>
  <c r="M56" i="2"/>
  <c r="L56" i="2"/>
  <c r="M55" i="2"/>
  <c r="L55" i="2"/>
  <c r="M54" i="2"/>
  <c r="L54" i="2"/>
  <c r="M53" i="2"/>
  <c r="L53" i="2"/>
  <c r="M52" i="2"/>
  <c r="L52" i="2"/>
  <c r="M51" i="2"/>
  <c r="L51" i="2"/>
  <c r="M50" i="2"/>
  <c r="L50" i="2"/>
  <c r="M49" i="2"/>
  <c r="L49" i="2"/>
  <c r="M48" i="2"/>
  <c r="L48" i="2"/>
  <c r="M47" i="2"/>
  <c r="L47" i="2"/>
  <c r="M46" i="2"/>
  <c r="L46" i="2"/>
  <c r="M45" i="2"/>
  <c r="L45" i="2"/>
  <c r="M44" i="2"/>
  <c r="L44" i="2"/>
  <c r="M43" i="2"/>
  <c r="L43" i="2"/>
  <c r="M42" i="2"/>
  <c r="L42" i="2"/>
  <c r="M41" i="2"/>
  <c r="L41" i="2"/>
  <c r="M40" i="2"/>
  <c r="L40" i="2"/>
  <c r="M39" i="2"/>
  <c r="L39" i="2"/>
  <c r="M38" i="2"/>
  <c r="L38" i="2"/>
  <c r="M37" i="2"/>
  <c r="L37" i="2"/>
  <c r="M36" i="2"/>
  <c r="L36" i="2"/>
  <c r="M35" i="2"/>
  <c r="L35" i="2"/>
  <c r="M34" i="2"/>
  <c r="L34" i="2"/>
  <c r="M33" i="2"/>
  <c r="L33" i="2"/>
  <c r="M32" i="2"/>
  <c r="L32" i="2"/>
  <c r="M31" i="2"/>
  <c r="L31" i="2"/>
  <c r="M30" i="2"/>
  <c r="L30" i="2"/>
  <c r="M29" i="2"/>
  <c r="L29" i="2"/>
  <c r="M28" i="2"/>
  <c r="L28" i="2"/>
  <c r="M27" i="2"/>
  <c r="L27" i="2"/>
  <c r="M26" i="2"/>
  <c r="L26" i="2"/>
  <c r="M25" i="2"/>
  <c r="L25" i="2"/>
  <c r="M24" i="2"/>
  <c r="L24" i="2"/>
  <c r="M23" i="2"/>
  <c r="L23" i="2"/>
  <c r="M22" i="2"/>
  <c r="L22" i="2"/>
  <c r="M21" i="2"/>
  <c r="L21" i="2"/>
  <c r="M20" i="2"/>
  <c r="L20" i="2"/>
  <c r="M19" i="2"/>
  <c r="L19" i="2"/>
  <c r="M18" i="2"/>
  <c r="L18" i="2"/>
  <c r="M17" i="2"/>
  <c r="L17" i="2"/>
  <c r="M16" i="2"/>
  <c r="L16" i="2"/>
  <c r="M15" i="2"/>
  <c r="L15" i="2"/>
  <c r="M14" i="2"/>
  <c r="L14" i="2"/>
  <c r="M13" i="2"/>
  <c r="L13" i="2"/>
  <c r="M12" i="2"/>
  <c r="L12" i="2"/>
  <c r="M11" i="2"/>
  <c r="L11" i="2"/>
  <c r="M10" i="2"/>
  <c r="L10" i="2"/>
  <c r="M9" i="2"/>
  <c r="L9" i="2"/>
  <c r="M8" i="2"/>
  <c r="L8" i="2"/>
  <c r="M7" i="2"/>
  <c r="L7" i="2"/>
  <c r="M6" i="2"/>
  <c r="L6" i="2"/>
  <c r="M5" i="2"/>
  <c r="L5" i="2"/>
  <c r="M4" i="2"/>
  <c r="L4" i="2"/>
  <c r="M3" i="2"/>
  <c r="L3" i="2"/>
  <c r="M2" i="2"/>
  <c r="L2" i="2"/>
  <c r="T3" i="1" l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2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33B6F21-A679-466A-8805-852C5778D12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62902169-9409-45C5-8597-DE23204AF2A4}" name="WorksheetConnection_CLEANED DATA - LANCANAN&amp;PANLILIO (version 1).xlsb!product_dim" type="102" refreshedVersion="8" minRefreshableVersion="5">
    <extLst>
      <ext xmlns:x15="http://schemas.microsoft.com/office/spreadsheetml/2010/11/main" uri="{DE250136-89BD-433C-8126-D09CA5730AF9}">
        <x15:connection id="product_dim">
          <x15:rangePr sourceName="_xlcn.WorksheetConnection_CLEANEDDATALANCANANPANLILIOversion1.xlsbproduct_dim1"/>
        </x15:connection>
      </ext>
    </extLst>
  </connection>
  <connection id="3" xr16:uid="{ED944FE5-0EE8-40A4-9DEA-672289AB44BD}" name="WorksheetConnection_CLEANED DATA - LANCANAN&amp;PANLILIO.xlsx!country_dim" type="102" refreshedVersion="8" minRefreshableVersion="5">
    <extLst>
      <ext xmlns:x15="http://schemas.microsoft.com/office/spreadsheetml/2010/11/main" uri="{DE250136-89BD-433C-8126-D09CA5730AF9}">
        <x15:connection id="country_dim">
          <x15:rangePr sourceName="_xlcn.WorksheetConnection_CLEANEDDATALANCANANPANLILIO.xlsxcountry_dim1"/>
        </x15:connection>
      </ext>
    </extLst>
  </connection>
  <connection id="4" xr16:uid="{38557515-C4EA-48E3-831C-CF697ED72DC5}" name="WorksheetConnection_CLEANED DATA - LANCANAN&amp;PANLILIO.xlsx!customer_dim" type="102" refreshedVersion="8" minRefreshableVersion="5">
    <extLst>
      <ext xmlns:x15="http://schemas.microsoft.com/office/spreadsheetml/2010/11/main" uri="{DE250136-89BD-433C-8126-D09CA5730AF9}">
        <x15:connection id="customer_dim">
          <x15:rangePr sourceName="_xlcn.WorksheetConnection_CLEANEDDATALANCANANPANLILIO.xlsxcustomer_dim1"/>
        </x15:connection>
      </ext>
    </extLst>
  </connection>
  <connection id="5" xr16:uid="{1C984260-C45F-4993-9373-BFDDFECFBD3A}" name="WorksheetConnection_CLEANED DATA - LANCANAN&amp;PANLILIO.xlsx!sales_fact" type="102" refreshedVersion="8" minRefreshableVersion="5">
    <extLst>
      <ext xmlns:x15="http://schemas.microsoft.com/office/spreadsheetml/2010/11/main" uri="{DE250136-89BD-433C-8126-D09CA5730AF9}">
        <x15:connection id="sales_fact">
          <x15:rangePr sourceName="_xlcn.WorksheetConnection_CLEANEDDATALANCANANPANLILIO.xlsxsales_fact1"/>
        </x15:connection>
      </ext>
    </extLst>
  </connection>
  <connection id="6" xr16:uid="{836165C1-7220-411C-99CE-B373D86D8419}" name="WorksheetConnection_CLEANED DATA - LANCANAN&amp;PANLILIO.xlsx!state_dim" type="102" refreshedVersion="8" minRefreshableVersion="5">
    <extLst>
      <ext xmlns:x15="http://schemas.microsoft.com/office/spreadsheetml/2010/11/main" uri="{DE250136-89BD-433C-8126-D09CA5730AF9}">
        <x15:connection id="state_dim">
          <x15:rangePr sourceName="_xlcn.WorksheetConnection_CLEANEDDATALANCANANPANLILIO.xlsxstate_dim1"/>
        </x15:connection>
      </ext>
    </extLst>
  </connection>
  <connection id="7" xr16:uid="{2E8C5ABC-81AA-4A77-90C1-CBDE0FE25E0E}" name="WorksheetConnection_waitlang.xlsx!Subprod_dim" type="102" refreshedVersion="8" minRefreshableVersion="5">
    <extLst>
      <ext xmlns:x15="http://schemas.microsoft.com/office/spreadsheetml/2010/11/main" uri="{DE250136-89BD-433C-8126-D09CA5730AF9}">
        <x15:connection id="Subprod_dim">
          <x15:rangePr sourceName="_xlcn.WorksheetConnection_waitlang.xlsxSubprod_dim1"/>
        </x15:connection>
      </ext>
    </extLst>
  </connection>
</connections>
</file>

<file path=xl/sharedStrings.xml><?xml version="1.0" encoding="utf-8"?>
<sst xmlns="http://schemas.openxmlformats.org/spreadsheetml/2006/main" count="1934" uniqueCount="264">
  <si>
    <t>Sales_Order #</t>
  </si>
  <si>
    <t>Date</t>
  </si>
  <si>
    <t>Day</t>
  </si>
  <si>
    <t>Month</t>
  </si>
  <si>
    <t>Year</t>
  </si>
  <si>
    <t>Customer_Age</t>
  </si>
  <si>
    <t>Age_Group</t>
  </si>
  <si>
    <t>Country</t>
  </si>
  <si>
    <t>State</t>
  </si>
  <si>
    <t>Product_Category</t>
  </si>
  <si>
    <t>Sub_Category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</si>
  <si>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</si>
  <si>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</si>
  <si>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</si>
  <si>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</si>
  <si>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</si>
  <si>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</si>
  <si>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000261695</t>
  </si>
  <si>
    <t>December</t>
  </si>
  <si>
    <t>Adults (35-64)</t>
  </si>
  <si>
    <t>United States</t>
  </si>
  <si>
    <t>California</t>
  </si>
  <si>
    <t>Bikes</t>
  </si>
  <si>
    <t>Mountain Bikes</t>
  </si>
  <si>
    <t>United Kingdom</t>
  </si>
  <si>
    <t>England</t>
  </si>
  <si>
    <t>000261697</t>
  </si>
  <si>
    <t>000261698</t>
  </si>
  <si>
    <t>Young Adults (25-34)</t>
  </si>
  <si>
    <t>Australia</t>
  </si>
  <si>
    <t>New South Wales</t>
  </si>
  <si>
    <t>000261699</t>
  </si>
  <si>
    <t>000261700</t>
  </si>
  <si>
    <t>Youth (&lt;25)</t>
  </si>
  <si>
    <t>000261701</t>
  </si>
  <si>
    <t>Washington</t>
  </si>
  <si>
    <t>000261702</t>
  </si>
  <si>
    <t>000261703</t>
  </si>
  <si>
    <t>000261704</t>
  </si>
  <si>
    <t>Germany</t>
  </si>
  <si>
    <t>Nordrhein-Westfalen</t>
  </si>
  <si>
    <t>000261705</t>
  </si>
  <si>
    <t>Queensland</t>
  </si>
  <si>
    <t>000261706</t>
  </si>
  <si>
    <t>000261707</t>
  </si>
  <si>
    <t>000261708</t>
  </si>
  <si>
    <t>Canada</t>
  </si>
  <si>
    <t>British Columbia</t>
  </si>
  <si>
    <t>000261709</t>
  </si>
  <si>
    <t>000261710</t>
  </si>
  <si>
    <t>000261711</t>
  </si>
  <si>
    <t>000261712</t>
  </si>
  <si>
    <t>000261713</t>
  </si>
  <si>
    <t>000261714</t>
  </si>
  <si>
    <t>000261715</t>
  </si>
  <si>
    <t>Oregon</t>
  </si>
  <si>
    <t>000261716</t>
  </si>
  <si>
    <t>000261717</t>
  </si>
  <si>
    <t>Victoria</t>
  </si>
  <si>
    <t>000261718</t>
  </si>
  <si>
    <t>Hamburg</t>
  </si>
  <si>
    <t>000261719</t>
  </si>
  <si>
    <t>000261720</t>
  </si>
  <si>
    <t>000261721</t>
  </si>
  <si>
    <t>000261722</t>
  </si>
  <si>
    <t>000261723</t>
  </si>
  <si>
    <t>000261724</t>
  </si>
  <si>
    <t>000261725</t>
  </si>
  <si>
    <t>France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</si>
  <si>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</si>
  <si>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</si>
  <si>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</si>
  <si>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</si>
  <si>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</si>
  <si>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</si>
  <si>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</si>
  <si>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</si>
  <si>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</si>
  <si>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</si>
  <si>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</si>
  <si>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</si>
  <si>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</si>
  <si>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</si>
  <si>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</si>
  <si>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</si>
  <si>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</si>
  <si>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</si>
  <si>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</si>
  <si>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</si>
  <si>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</si>
  <si>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</si>
  <si>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</si>
  <si>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</si>
  <si>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</si>
  <si>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</si>
  <si>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</si>
  <si>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</si>
  <si>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</si>
  <si>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</si>
  <si>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</si>
  <si>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</si>
  <si>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</si>
  <si>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</si>
  <si>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</si>
  <si>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</si>
  <si>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000261758</t>
  </si>
  <si>
    <t>000261759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</si>
  <si>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</si>
  <si>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</si>
  <si>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</si>
  <si>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</si>
  <si>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</si>
  <si>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</si>
  <si>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</si>
  <si>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</si>
  <si>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</si>
  <si>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</si>
  <si>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</si>
  <si>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</si>
  <si>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</si>
  <si>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</si>
  <si>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</si>
  <si>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</si>
  <si>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</si>
  <si>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</si>
  <si>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</si>
  <si>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</si>
  <si>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</si>
  <si>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</si>
  <si>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</si>
  <si>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</si>
  <si>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</si>
  <si>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</si>
  <si>
    <t>000261696</t>
  </si>
  <si>
    <t>Size</t>
  </si>
  <si>
    <t>Mountain-200</t>
  </si>
  <si>
    <t>Black</t>
  </si>
  <si>
    <t>Silver</t>
  </si>
  <si>
    <t>Mountain-400-W</t>
  </si>
  <si>
    <t>Mountain-500</t>
  </si>
  <si>
    <t>Mountain-100</t>
  </si>
  <si>
    <t>Color</t>
  </si>
  <si>
    <t>Model</t>
  </si>
  <si>
    <t>CustoMaleer_Gender</t>
  </si>
  <si>
    <t>Male</t>
  </si>
  <si>
    <t>Female</t>
  </si>
  <si>
    <t>C-101</t>
  </si>
  <si>
    <t>C-102</t>
  </si>
  <si>
    <t>C-103</t>
  </si>
  <si>
    <t>C-104</t>
  </si>
  <si>
    <t>C-105</t>
  </si>
  <si>
    <t>C-106</t>
  </si>
  <si>
    <t>country_id</t>
  </si>
  <si>
    <t>P-101</t>
  </si>
  <si>
    <t>customer_id</t>
  </si>
  <si>
    <t>CS-101</t>
  </si>
  <si>
    <t>CS-102</t>
  </si>
  <si>
    <t>CS-103</t>
  </si>
  <si>
    <t>CS-104</t>
  </si>
  <si>
    <t>CS-105</t>
  </si>
  <si>
    <t>CS-106</t>
  </si>
  <si>
    <t>CS-107</t>
  </si>
  <si>
    <t>CS-108</t>
  </si>
  <si>
    <t>CS-109</t>
  </si>
  <si>
    <t>CS-110</t>
  </si>
  <si>
    <t>CS-111</t>
  </si>
  <si>
    <t>CS-112</t>
  </si>
  <si>
    <t>CS-113</t>
  </si>
  <si>
    <t>CS-114</t>
  </si>
  <si>
    <t>CS-115</t>
  </si>
  <si>
    <t>CS-116</t>
  </si>
  <si>
    <t>CS-117</t>
  </si>
  <si>
    <t>CS-118</t>
  </si>
  <si>
    <t>CS-119</t>
  </si>
  <si>
    <t>CS-120</t>
  </si>
  <si>
    <t>CS-121</t>
  </si>
  <si>
    <t>CS-122</t>
  </si>
  <si>
    <t>CS-123</t>
  </si>
  <si>
    <t>CS-124</t>
  </si>
  <si>
    <t>CS-125</t>
  </si>
  <si>
    <t>CS-126</t>
  </si>
  <si>
    <t>CS-127</t>
  </si>
  <si>
    <t>CS-128</t>
  </si>
  <si>
    <t>CS-129</t>
  </si>
  <si>
    <t>CS-130</t>
  </si>
  <si>
    <t>CS-131</t>
  </si>
  <si>
    <t>CS-132</t>
  </si>
  <si>
    <t>CS-133</t>
  </si>
  <si>
    <t>CS-134</t>
  </si>
  <si>
    <t>CS-135</t>
  </si>
  <si>
    <t>CS-136</t>
  </si>
  <si>
    <t>CS-137</t>
  </si>
  <si>
    <t>CS-138</t>
  </si>
  <si>
    <t>CS-139</t>
  </si>
  <si>
    <t>CS-140</t>
  </si>
  <si>
    <t>CS-141</t>
  </si>
  <si>
    <t>CS-142</t>
  </si>
  <si>
    <t>CS-143</t>
  </si>
  <si>
    <t>CS-144</t>
  </si>
  <si>
    <t>CS-145</t>
  </si>
  <si>
    <t>CS-146</t>
  </si>
  <si>
    <t>CS-147</t>
  </si>
  <si>
    <t>CS-148</t>
  </si>
  <si>
    <t>CS-149</t>
  </si>
  <si>
    <t>CS-150</t>
  </si>
  <si>
    <t>CS-151</t>
  </si>
  <si>
    <t>CS-152</t>
  </si>
  <si>
    <t>CS-153</t>
  </si>
  <si>
    <t>CS-154</t>
  </si>
  <si>
    <t>CS-155</t>
  </si>
  <si>
    <t>CS-156</t>
  </si>
  <si>
    <t>CS-157</t>
  </si>
  <si>
    <t>CS-158</t>
  </si>
  <si>
    <t>CS-159</t>
  </si>
  <si>
    <t>CS-160</t>
  </si>
  <si>
    <t>CS-161</t>
  </si>
  <si>
    <t>CS-162</t>
  </si>
  <si>
    <t>CS-163</t>
  </si>
  <si>
    <t>CS-164</t>
  </si>
  <si>
    <t>CS-165</t>
  </si>
  <si>
    <t>CS-166</t>
  </si>
  <si>
    <t>CS-167</t>
  </si>
  <si>
    <t>CS-168</t>
  </si>
  <si>
    <t>CS-169</t>
  </si>
  <si>
    <t>CS-170</t>
  </si>
  <si>
    <t>CS-171</t>
  </si>
  <si>
    <t>CS-172</t>
  </si>
  <si>
    <t>CS-173</t>
  </si>
  <si>
    <t>CS-174</t>
  </si>
  <si>
    <t>CS-175</t>
  </si>
  <si>
    <t>CS-176</t>
  </si>
  <si>
    <t>CS-177</t>
  </si>
  <si>
    <t>CS-178</t>
  </si>
  <si>
    <t>CS-179</t>
  </si>
  <si>
    <t>CS-180</t>
  </si>
  <si>
    <t>CS-181</t>
  </si>
  <si>
    <t>CS-182</t>
  </si>
  <si>
    <t>CS-183</t>
  </si>
  <si>
    <t>CS-184</t>
  </si>
  <si>
    <t>CS-185</t>
  </si>
  <si>
    <t>CS-186</t>
  </si>
  <si>
    <t>CS-187</t>
  </si>
  <si>
    <t>CS-188</t>
  </si>
  <si>
    <t>S-101</t>
  </si>
  <si>
    <t>S-102</t>
  </si>
  <si>
    <t>S-103</t>
  </si>
  <si>
    <t>S-104</t>
  </si>
  <si>
    <t>S-105</t>
  </si>
  <si>
    <t>S-106</t>
  </si>
  <si>
    <t>S-107</t>
  </si>
  <si>
    <t>S-108</t>
  </si>
  <si>
    <t>S-109</t>
  </si>
  <si>
    <t>S-110</t>
  </si>
  <si>
    <t>S-111</t>
  </si>
  <si>
    <t>S-112</t>
  </si>
  <si>
    <t>S-113</t>
  </si>
  <si>
    <t>S-114</t>
  </si>
  <si>
    <t>S-115</t>
  </si>
  <si>
    <t>S-116</t>
  </si>
  <si>
    <t>S-117</t>
  </si>
  <si>
    <t>state_id</t>
  </si>
  <si>
    <t>prod_id</t>
  </si>
  <si>
    <t>SB-101</t>
  </si>
  <si>
    <t>subCat_id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</si>
</sst>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4" tint="0.39997558519241921"/>
      </top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5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0" fillId="0" borderId="0" xfId="0" applyAlignment="1">
      <alignment horizontal="center"/>
    </xf>
    <xf numFmtId="0" fontId="16" fillId="0" borderId="0" xfId="0" applyFont="1" applyAlignment="1">
      <alignment horizontal="center" vertical="center" wrapText="1"/>
    </xf>
    <xf numFmtId="0" fontId="16" fillId="33" borderId="0" xfId="0" applyFont="1" applyFill="1" applyAlignment="1">
      <alignment horizontal="center" vertical="center" wrapText="1"/>
    </xf>
    <xf numFmtId="0" fontId="0" fillId="33" borderId="0" xfId="0" applyFill="1"/>
    <xf numFmtId="0" fontId="16" fillId="34" borderId="0" xfId="0" applyFont="1" applyFill="1" applyAlignment="1">
      <alignment horizontal="center" vertical="center" wrapText="1"/>
    </xf>
    <xf numFmtId="0" fontId="0" fillId="34" borderId="0" xfId="0" applyFill="1"/>
    <xf numFmtId="0" fontId="20" fillId="33" borderId="0" xfId="0" applyFont="1" applyFill="1" applyAlignment="1">
      <alignment horizontal="center" vertical="center" wrapText="1"/>
    </xf>
    <xf numFmtId="0" fontId="19" fillId="33" borderId="0" xfId="0" applyFont="1" applyFill="1"/>
    <xf numFmtId="0" fontId="16" fillId="0" borderId="0" xfId="0" applyFont="1" applyAlignment="1">
      <alignment horizontal="center" vertical="center"/>
    </xf>
    <xf numFmtId="49" fontId="0" fillId="36" borderId="10" xfId="0" applyNumberFormat="1" applyFill="1" applyBorder="1" applyAlignment="1">
      <alignment horizontal="right"/>
    </xf>
    <xf numFmtId="14" fontId="0" fillId="36" borderId="10" xfId="0" applyNumberFormat="1" applyFill="1" applyBorder="1"/>
    <xf numFmtId="0" fontId="0" fillId="33" borderId="10" xfId="0" applyFill="1" applyBorder="1"/>
    <xf numFmtId="0" fontId="19" fillId="33" borderId="10" xfId="0" applyFont="1" applyFill="1" applyBorder="1"/>
    <xf numFmtId="0" fontId="0" fillId="36" borderId="10" xfId="0" applyFill="1" applyBorder="1"/>
    <xf numFmtId="164" fontId="0" fillId="36" borderId="10" xfId="0" applyNumberFormat="1" applyFill="1" applyBorder="1"/>
    <xf numFmtId="49" fontId="0" fillId="0" borderId="10" xfId="0" applyNumberFormat="1" applyBorder="1" applyAlignment="1">
      <alignment horizontal="right"/>
    </xf>
    <xf numFmtId="14" fontId="0" fillId="0" borderId="10" xfId="0" applyNumberFormat="1" applyBorder="1"/>
    <xf numFmtId="0" fontId="0" fillId="0" borderId="10" xfId="0" applyBorder="1"/>
    <xf numFmtId="164" fontId="0" fillId="0" borderId="10" xfId="0" applyNumberFormat="1" applyBorder="1"/>
    <xf numFmtId="0" fontId="13" fillId="35" borderId="0" xfId="0" applyFont="1" applyFill="1" applyAlignment="1">
      <alignment horizontal="center" vertical="center" wrapText="1"/>
    </xf>
    <xf numFmtId="0" fontId="13" fillId="33" borderId="0" xfId="0" applyFont="1" applyFill="1" applyAlignment="1">
      <alignment horizontal="center" vertic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4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ill>
        <patternFill patternType="solid">
          <fgColor indexed="64"/>
          <bgColor theme="7" tint="0.39997558519241921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&quot;$&quot;#,##0.00_);[Red]\(&quot;$&quot;#,##0.00\)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solid">
          <fgColor indexed="64"/>
          <bgColor theme="7" tint="0.3999755851924192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7" tint="0.39997558519241921"/>
        </patternFill>
      </fill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9" formatCode="dd/mm/yy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30" formatCode="@"/>
      <alignment horizontal="right" vertical="bottom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alignment horizontal="center" vertical="center" textRotation="0" wrapText="1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30" formatCode="@"/>
      <alignment horizontal="righ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8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alcChain" Target="calcChain.xml"/><Relationship Id="rId18" Type="http://schemas.openxmlformats.org/officeDocument/2006/relationships/customXml" Target="../customXml/item5.xml"/><Relationship Id="rId26" Type="http://schemas.openxmlformats.org/officeDocument/2006/relationships/customXml" Target="../customXml/item13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8.xml"/><Relationship Id="rId34" Type="http://schemas.openxmlformats.org/officeDocument/2006/relationships/customXml" Target="../customXml/item21.xml"/><Relationship Id="rId7" Type="http://schemas.openxmlformats.org/officeDocument/2006/relationships/worksheet" Target="worksheets/sheet7.xml"/><Relationship Id="rId12" Type="http://schemas.openxmlformats.org/officeDocument/2006/relationships/powerPivotData" Target="model/item.data"/><Relationship Id="rId17" Type="http://schemas.openxmlformats.org/officeDocument/2006/relationships/customXml" Target="../customXml/item4.xml"/><Relationship Id="rId25" Type="http://schemas.openxmlformats.org/officeDocument/2006/relationships/customXml" Target="../customXml/item12.xml"/><Relationship Id="rId33" Type="http://schemas.openxmlformats.org/officeDocument/2006/relationships/customXml" Target="../customXml/item20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20" Type="http://schemas.openxmlformats.org/officeDocument/2006/relationships/customXml" Target="../customXml/item7.xml"/><Relationship Id="rId29" Type="http://schemas.openxmlformats.org/officeDocument/2006/relationships/customXml" Target="../customXml/item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24" Type="http://schemas.openxmlformats.org/officeDocument/2006/relationships/customXml" Target="../customXml/item11.xml"/><Relationship Id="rId32" Type="http://schemas.openxmlformats.org/officeDocument/2006/relationships/customXml" Target="../customXml/item19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23" Type="http://schemas.openxmlformats.org/officeDocument/2006/relationships/customXml" Target="../customXml/item10.xml"/><Relationship Id="rId28" Type="http://schemas.openxmlformats.org/officeDocument/2006/relationships/customXml" Target="../customXml/item15.xml"/><Relationship Id="rId36" Type="http://schemas.openxmlformats.org/officeDocument/2006/relationships/customXml" Target="../customXml/item23.xml"/><Relationship Id="rId10" Type="http://schemas.openxmlformats.org/officeDocument/2006/relationships/styles" Target="styles.xml"/><Relationship Id="rId19" Type="http://schemas.openxmlformats.org/officeDocument/2006/relationships/customXml" Target="../customXml/item6.xml"/><Relationship Id="rId31" Type="http://schemas.openxmlformats.org/officeDocument/2006/relationships/customXml" Target="../customXml/item18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Relationship Id="rId22" Type="http://schemas.openxmlformats.org/officeDocument/2006/relationships/customXml" Target="../customXml/item9.xml"/><Relationship Id="rId27" Type="http://schemas.openxmlformats.org/officeDocument/2006/relationships/customXml" Target="../customXml/item14.xml"/><Relationship Id="rId30" Type="http://schemas.openxmlformats.org/officeDocument/2006/relationships/customXml" Target="../customXml/item17.xml"/><Relationship Id="rId35" Type="http://schemas.openxmlformats.org/officeDocument/2006/relationships/customXml" Target="../customXml/item22.xml"/><Relationship Id="rId8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A5D45E5-F9C2-4B00-B300-B46E578B029F}" name="state_dim" displayName="state_dim" ref="A1:B18" totalsRowShown="0">
  <autoFilter ref="A1:B18" xr:uid="{9A5D45E5-F9C2-4B00-B300-B46E578B029F}"/>
  <tableColumns count="2">
    <tableColumn id="1" xr3:uid="{CFFA5A75-7E04-4D6F-80AB-C327429A8663}" name="State" dataDxfId="42"/>
    <tableColumn id="2" xr3:uid="{BDE9534F-F811-4D0C-8919-1D7CEE16B689}" name="state_id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35F8346-F7F2-49E7-BDB0-8783C54D1F48}" name="country_dim" displayName="country_dim" ref="A1:B7" totalsRowShown="0">
  <autoFilter ref="A1:B7" xr:uid="{035F8346-F7F2-49E7-BDB0-8783C54D1F48}"/>
  <tableColumns count="2">
    <tableColumn id="1" xr3:uid="{70F353C5-4DC9-4A3B-89FE-833EEFA31AF7}" name="Country"/>
    <tableColumn id="2" xr3:uid="{4E555363-F68B-4B96-BC1C-C73012AC6563}" name="country_id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FD485A1-FA58-44E7-9EF8-1012950FEF83}" name="customer_dim" displayName="customer_dim" ref="A1:E89" totalsRowShown="0" headerRowDxfId="41">
  <autoFilter ref="A1:E89" xr:uid="{CFD485A1-FA58-44E7-9EF8-1012950FEF83}"/>
  <tableColumns count="5">
    <tableColumn id="1" xr3:uid="{0690D0E5-0ECE-48FB-8E82-01C9DBCF7CDD}" name="Sales_Order #" dataDxfId="40"/>
    <tableColumn id="2" xr3:uid="{EDCFE3DB-6B07-4897-9405-74029F8EF18F}" name="customer_id"/>
    <tableColumn id="3" xr3:uid="{80C34554-CE09-43A9-804C-B13C25EE4578}" name="Customer_Age"/>
    <tableColumn id="4" xr3:uid="{94771C1A-6F63-4FFC-B73D-06C6C0DF5B77}" name="Age_Group" dataDxfId="39"/>
    <tableColumn id="5" xr3:uid="{FFF23251-627F-4E6A-AC87-4F774B008E14}" name="CustoMaleer_Gender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9201765B-172A-4195-97E0-155D5D98540C}" name="Table5" displayName="Table5" ref="A1:M89" totalsRowShown="0" headerRowDxfId="38" dataDxfId="37" tableBorderDxfId="36">
  <autoFilter ref="A1:M89" xr:uid="{9201765B-172A-4195-97E0-155D5D98540C}"/>
  <tableColumns count="13">
    <tableColumn id="1" xr3:uid="{6CF72527-D52F-41AB-864A-062948D8B7E6}" name="customer_id" dataDxfId="35"/>
    <tableColumn id="2" xr3:uid="{FC0D6246-513A-4608-877D-ECEBBE2B024E}" name="Sales_Order #" dataDxfId="34"/>
    <tableColumn id="3" xr3:uid="{93F8D8A5-48D1-4737-A63F-C115C968DE07}" name="Date" dataDxfId="33"/>
    <tableColumn id="4" xr3:uid="{F8722409-C4C4-44E8-9615-1C7775AE7563}" name="country_id" dataDxfId="32"/>
    <tableColumn id="5" xr3:uid="{D393A341-9CBF-4BC9-8EC3-CF4CDD7246AD}" name="state_id" dataDxfId="31"/>
    <tableColumn id="6" xr3:uid="{2FCBFF17-CE0E-4B72-BD8F-1DCF2857E1AC}" name="prod_id" dataDxfId="30"/>
    <tableColumn id="7" xr3:uid="{5DCC0105-C12E-4BBC-8601-307CFA1EC56B}" name="subCat_id" dataDxfId="29"/>
    <tableColumn id="8" xr3:uid="{48FCE1E0-C0C7-4EE1-8A5F-6A437A2B759E}" name="Order_Quantity" dataDxfId="28"/>
    <tableColumn id="9" xr3:uid="{D9EE62B3-B3C6-4ABE-86D8-9534B75FC028}" name=" Unit_Cost " dataDxfId="27"/>
    <tableColumn id="10" xr3:uid="{0687E82E-EB04-473F-8707-46BAF4195A1B}" name=" Unit_Price " dataDxfId="26"/>
    <tableColumn id="11" xr3:uid="{EF9548F7-1B16-4CE6-8BF2-89975DDFAC32}" name=" Profit " dataDxfId="25"/>
    <tableColumn id="12" xr3:uid="{E72E8300-A089-4F16-9C40-D9D896213228}" name=" Cost " dataDxfId="24">
      <calculatedColumnFormula>H2*I2</calculatedColumnFormula>
    </tableColumn>
    <tableColumn id="13" xr3:uid="{E7EDCC44-4EC1-4C07-9209-3CEF1E4303A1}" name="Revenue" dataDxfId="23">
      <calculatedColumnFormula>H2*J2</calculatedColumnFormula>
    </tableColumn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CAC9867-32E0-405A-99EE-D68199B0BD2C}" name="product_dim" displayName="product_dim" ref="A1:D2" totalsRowShown="0" headerRowDxfId="22" dataDxfId="21">
  <autoFilter ref="A1:D2" xr:uid="{0CAC9867-32E0-405A-99EE-D68199B0BD2C}"/>
  <tableColumns count="4">
    <tableColumn id="1" xr3:uid="{10D5CDD1-4467-49EC-B5B9-46996A81F1D9}" name="Product_Category" dataDxfId="20"/>
    <tableColumn id="2" xr3:uid="{ED40ADDD-61B6-490F-A5AF-8885E78F2806}" name="prod_id" dataDxfId="19"/>
    <tableColumn id="3" xr3:uid="{931FF1C3-F087-4FEA-9643-3E6A26D75435}" name="Sub_Category" dataDxfId="18"/>
    <tableColumn id="4" xr3:uid="{66AAF1DB-54E9-4210-9119-5DFA34EA448F}" name="subCat_id" dataDxfId="17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F123C93-75B3-47AF-90A1-77E67559CAD7}" name="Subprod_dim" displayName="Subprod_dim" ref="A1:E19" totalsRowShown="0" headerRowDxfId="0" dataDxfId="1">
  <autoFilter ref="A1:E19" xr:uid="{9F123C93-75B3-47AF-90A1-77E67559CAD7}"/>
  <tableColumns count="5">
    <tableColumn id="1" xr3:uid="{FBEB0066-E511-4C40-ADAC-072DA758273D}" name="Sub_Category" dataDxfId="6"/>
    <tableColumn id="2" xr3:uid="{E449E506-72BF-4AD5-8CFD-6BBFD60E82E6}" name="subCat_id" dataDxfId="5"/>
    <tableColumn id="3" xr3:uid="{E59D3272-A29D-4535-A715-0203D2DD5DAD}" name="Model" dataDxfId="4"/>
    <tableColumn id="4" xr3:uid="{02A6009A-E606-4AFA-844C-80B039DDDEA6}" name="Color" dataDxfId="3"/>
    <tableColumn id="5" xr3:uid="{8EAECDAA-2E02-4ACC-BF81-44FB1823D0FF}" name="Siz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9"/>
  <sheetViews>
    <sheetView zoomScaleNormal="100" workbookViewId="0">
      <selection activeCell="D8" sqref="D8"/>
    </sheetView>
  </sheetViews>
  <sheetFormatPr defaultRowHeight="14.5" x14ac:dyDescent="0.35"/>
  <cols>
    <col min="1" max="1" width="20.26953125" style="9" bestFit="1" customWidth="1"/>
    <col min="2" max="2" width="9.6328125" customWidth="1"/>
  </cols>
  <sheetData>
    <row r="1" spans="1:2" s="5" customFormat="1" x14ac:dyDescent="0.35">
      <c r="A1" s="8" t="s">
        <v>8</v>
      </c>
      <c r="B1" s="5" t="s">
        <v>260</v>
      </c>
    </row>
    <row r="2" spans="1:2" x14ac:dyDescent="0.35">
      <c r="A2" s="9" t="s">
        <v>47</v>
      </c>
      <c r="B2" t="s">
        <v>243</v>
      </c>
    </row>
    <row r="3" spans="1:2" x14ac:dyDescent="0.35">
      <c r="A3" s="9" t="s">
        <v>21</v>
      </c>
      <c r="B3" t="s">
        <v>244</v>
      </c>
    </row>
    <row r="4" spans="1:2" x14ac:dyDescent="0.35">
      <c r="A4" s="9" t="s">
        <v>25</v>
      </c>
      <c r="B4" t="s">
        <v>245</v>
      </c>
    </row>
    <row r="5" spans="1:2" x14ac:dyDescent="0.35">
      <c r="A5" s="9" t="s">
        <v>60</v>
      </c>
      <c r="B5" t="s">
        <v>246</v>
      </c>
    </row>
    <row r="6" spans="1:2" x14ac:dyDescent="0.35">
      <c r="A6" s="9" t="s">
        <v>113</v>
      </c>
      <c r="B6" t="s">
        <v>247</v>
      </c>
    </row>
    <row r="7" spans="1:2" x14ac:dyDescent="0.35">
      <c r="A7" s="9" t="s">
        <v>30</v>
      </c>
      <c r="B7" t="s">
        <v>248</v>
      </c>
    </row>
    <row r="8" spans="1:2" x14ac:dyDescent="0.35">
      <c r="A8" s="9" t="s">
        <v>103</v>
      </c>
      <c r="B8" t="s">
        <v>249</v>
      </c>
    </row>
    <row r="9" spans="1:2" x14ac:dyDescent="0.35">
      <c r="A9" s="9" t="s">
        <v>40</v>
      </c>
      <c r="B9" t="s">
        <v>250</v>
      </c>
    </row>
    <row r="10" spans="1:2" x14ac:dyDescent="0.35">
      <c r="A10" s="9" t="s">
        <v>55</v>
      </c>
      <c r="B10" t="s">
        <v>251</v>
      </c>
    </row>
    <row r="11" spans="1:2" x14ac:dyDescent="0.35">
      <c r="A11" s="9" t="s">
        <v>42</v>
      </c>
      <c r="B11" t="s">
        <v>252</v>
      </c>
    </row>
    <row r="12" spans="1:2" x14ac:dyDescent="0.35">
      <c r="A12" s="9" t="s">
        <v>69</v>
      </c>
      <c r="B12" t="s">
        <v>253</v>
      </c>
    </row>
    <row r="13" spans="1:2" x14ac:dyDescent="0.35">
      <c r="A13" s="9" t="s">
        <v>90</v>
      </c>
      <c r="B13" t="s">
        <v>254</v>
      </c>
    </row>
    <row r="14" spans="1:2" x14ac:dyDescent="0.35">
      <c r="A14" s="9" t="s">
        <v>97</v>
      </c>
      <c r="B14" t="s">
        <v>255</v>
      </c>
    </row>
    <row r="15" spans="1:2" x14ac:dyDescent="0.35">
      <c r="A15" s="9" t="s">
        <v>121</v>
      </c>
      <c r="B15" t="s">
        <v>256</v>
      </c>
    </row>
    <row r="16" spans="1:2" x14ac:dyDescent="0.35">
      <c r="A16" s="9" t="s">
        <v>111</v>
      </c>
      <c r="B16" t="s">
        <v>257</v>
      </c>
    </row>
    <row r="17" spans="1:2" x14ac:dyDescent="0.35">
      <c r="A17" s="9" t="s">
        <v>58</v>
      </c>
      <c r="B17" t="s">
        <v>258</v>
      </c>
    </row>
    <row r="18" spans="1:2" x14ac:dyDescent="0.35">
      <c r="A18" s="9" t="s">
        <v>35</v>
      </c>
      <c r="B18" t="s">
        <v>259</v>
      </c>
    </row>
    <row r="19" spans="1:2" x14ac:dyDescent="0.35">
      <c r="A19"/>
    </row>
    <row r="20" spans="1:2" x14ac:dyDescent="0.35">
      <c r="A20"/>
    </row>
    <row r="21" spans="1:2" x14ac:dyDescent="0.35">
      <c r="A21"/>
    </row>
    <row r="22" spans="1:2" x14ac:dyDescent="0.35">
      <c r="A22"/>
    </row>
    <row r="23" spans="1:2" x14ac:dyDescent="0.35">
      <c r="A23"/>
    </row>
    <row r="24" spans="1:2" x14ac:dyDescent="0.35">
      <c r="A24"/>
    </row>
    <row r="25" spans="1:2" x14ac:dyDescent="0.35">
      <c r="A25"/>
    </row>
    <row r="26" spans="1:2" x14ac:dyDescent="0.35">
      <c r="A26"/>
    </row>
    <row r="27" spans="1:2" x14ac:dyDescent="0.35">
      <c r="A27"/>
    </row>
    <row r="28" spans="1:2" x14ac:dyDescent="0.35">
      <c r="A28"/>
    </row>
    <row r="29" spans="1:2" x14ac:dyDescent="0.35">
      <c r="A29"/>
    </row>
    <row r="30" spans="1:2" x14ac:dyDescent="0.35">
      <c r="A30"/>
    </row>
    <row r="31" spans="1:2" x14ac:dyDescent="0.35">
      <c r="A31"/>
    </row>
    <row r="32" spans="1:2" x14ac:dyDescent="0.35">
      <c r="A32"/>
    </row>
    <row r="33" spans="1:1" x14ac:dyDescent="0.35">
      <c r="A33"/>
    </row>
    <row r="34" spans="1:1" x14ac:dyDescent="0.35">
      <c r="A34"/>
    </row>
    <row r="35" spans="1:1" x14ac:dyDescent="0.35">
      <c r="A35"/>
    </row>
    <row r="36" spans="1:1" x14ac:dyDescent="0.35">
      <c r="A36"/>
    </row>
    <row r="37" spans="1:1" x14ac:dyDescent="0.35">
      <c r="A37"/>
    </row>
    <row r="38" spans="1:1" x14ac:dyDescent="0.35">
      <c r="A38"/>
    </row>
    <row r="39" spans="1:1" x14ac:dyDescent="0.35">
      <c r="A39"/>
    </row>
    <row r="40" spans="1:1" x14ac:dyDescent="0.35">
      <c r="A40"/>
    </row>
    <row r="41" spans="1:1" x14ac:dyDescent="0.35">
      <c r="A41"/>
    </row>
    <row r="42" spans="1:1" x14ac:dyDescent="0.35">
      <c r="A42"/>
    </row>
    <row r="43" spans="1:1" x14ac:dyDescent="0.35">
      <c r="A43"/>
    </row>
    <row r="44" spans="1:1" x14ac:dyDescent="0.35">
      <c r="A44"/>
    </row>
    <row r="45" spans="1:1" x14ac:dyDescent="0.35">
      <c r="A45"/>
    </row>
    <row r="46" spans="1:1" x14ac:dyDescent="0.35">
      <c r="A46"/>
    </row>
    <row r="47" spans="1:1" x14ac:dyDescent="0.35">
      <c r="A47"/>
    </row>
    <row r="48" spans="1:1" x14ac:dyDescent="0.35">
      <c r="A48"/>
    </row>
    <row r="49" spans="1:1" x14ac:dyDescent="0.35">
      <c r="A49"/>
    </row>
    <row r="50" spans="1:1" x14ac:dyDescent="0.35">
      <c r="A50"/>
    </row>
    <row r="51" spans="1:1" x14ac:dyDescent="0.35">
      <c r="A51"/>
    </row>
    <row r="52" spans="1:1" x14ac:dyDescent="0.35">
      <c r="A52"/>
    </row>
    <row r="53" spans="1:1" x14ac:dyDescent="0.35">
      <c r="A53"/>
    </row>
    <row r="54" spans="1:1" x14ac:dyDescent="0.35">
      <c r="A54"/>
    </row>
    <row r="55" spans="1:1" x14ac:dyDescent="0.35">
      <c r="A55"/>
    </row>
    <row r="56" spans="1:1" x14ac:dyDescent="0.35">
      <c r="A56"/>
    </row>
    <row r="57" spans="1:1" x14ac:dyDescent="0.35">
      <c r="A57"/>
    </row>
    <row r="58" spans="1:1" x14ac:dyDescent="0.35">
      <c r="A58"/>
    </row>
    <row r="59" spans="1:1" x14ac:dyDescent="0.35">
      <c r="A59"/>
    </row>
    <row r="60" spans="1:1" x14ac:dyDescent="0.35">
      <c r="A60"/>
    </row>
    <row r="61" spans="1:1" x14ac:dyDescent="0.35">
      <c r="A61"/>
    </row>
    <row r="62" spans="1:1" x14ac:dyDescent="0.35">
      <c r="A62"/>
    </row>
    <row r="63" spans="1:1" x14ac:dyDescent="0.35">
      <c r="A63"/>
    </row>
    <row r="64" spans="1:1" x14ac:dyDescent="0.35">
      <c r="A64"/>
    </row>
    <row r="65" spans="1:1" x14ac:dyDescent="0.35">
      <c r="A65"/>
    </row>
    <row r="66" spans="1:1" x14ac:dyDescent="0.35">
      <c r="A66"/>
    </row>
    <row r="67" spans="1:1" x14ac:dyDescent="0.35">
      <c r="A67"/>
    </row>
    <row r="68" spans="1:1" x14ac:dyDescent="0.35">
      <c r="A68"/>
    </row>
    <row r="69" spans="1:1" x14ac:dyDescent="0.35">
      <c r="A69"/>
    </row>
    <row r="70" spans="1:1" x14ac:dyDescent="0.35">
      <c r="A70"/>
    </row>
    <row r="71" spans="1:1" x14ac:dyDescent="0.35">
      <c r="A71"/>
    </row>
    <row r="72" spans="1:1" x14ac:dyDescent="0.35">
      <c r="A72"/>
    </row>
    <row r="73" spans="1:1" x14ac:dyDescent="0.35">
      <c r="A73"/>
    </row>
    <row r="74" spans="1:1" x14ac:dyDescent="0.35">
      <c r="A74"/>
    </row>
    <row r="75" spans="1:1" x14ac:dyDescent="0.35">
      <c r="A75"/>
    </row>
    <row r="76" spans="1:1" x14ac:dyDescent="0.35">
      <c r="A76"/>
    </row>
    <row r="77" spans="1:1" x14ac:dyDescent="0.35">
      <c r="A77"/>
    </row>
    <row r="78" spans="1:1" x14ac:dyDescent="0.35">
      <c r="A78"/>
    </row>
    <row r="79" spans="1:1" x14ac:dyDescent="0.35">
      <c r="A79"/>
    </row>
    <row r="80" spans="1:1" x14ac:dyDescent="0.35">
      <c r="A80"/>
    </row>
    <row r="81" spans="1:1" x14ac:dyDescent="0.35">
      <c r="A81"/>
    </row>
    <row r="82" spans="1:1" x14ac:dyDescent="0.35">
      <c r="A82"/>
    </row>
    <row r="83" spans="1:1" x14ac:dyDescent="0.35">
      <c r="A83"/>
    </row>
    <row r="84" spans="1:1" x14ac:dyDescent="0.35">
      <c r="A84"/>
    </row>
    <row r="85" spans="1:1" x14ac:dyDescent="0.35">
      <c r="A85"/>
    </row>
    <row r="86" spans="1:1" x14ac:dyDescent="0.35">
      <c r="A86"/>
    </row>
    <row r="87" spans="1:1" x14ac:dyDescent="0.35">
      <c r="A87"/>
    </row>
    <row r="88" spans="1:1" x14ac:dyDescent="0.35">
      <c r="A88"/>
    </row>
    <row r="89" spans="1:1" x14ac:dyDescent="0.35">
      <c r="A89"/>
    </row>
  </sheetData>
  <sortState xmlns:xlrd2="http://schemas.microsoft.com/office/spreadsheetml/2017/richdata2" ref="A2:A89">
    <sortCondition ref="A1"/>
  </sortState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zoomScaleNormal="100" workbookViewId="0">
      <selection activeCell="B5" sqref="B5"/>
    </sheetView>
  </sheetViews>
  <sheetFormatPr defaultRowHeight="14.5" x14ac:dyDescent="0.35"/>
  <cols>
    <col min="1" max="1" width="15.453125" bestFit="1" customWidth="1"/>
    <col min="2" max="2" width="12" customWidth="1"/>
  </cols>
  <sheetData>
    <row r="1" spans="1:2" s="5" customFormat="1" x14ac:dyDescent="0.35">
      <c r="A1" s="12" t="s">
        <v>7</v>
      </c>
      <c r="B1" s="5" t="s">
        <v>152</v>
      </c>
    </row>
    <row r="2" spans="1:2" x14ac:dyDescent="0.35">
      <c r="A2" t="s">
        <v>29</v>
      </c>
      <c r="B2" t="s">
        <v>146</v>
      </c>
    </row>
    <row r="3" spans="1:2" x14ac:dyDescent="0.35">
      <c r="A3" t="s">
        <v>46</v>
      </c>
      <c r="B3" t="s">
        <v>147</v>
      </c>
    </row>
    <row r="4" spans="1:2" x14ac:dyDescent="0.35">
      <c r="A4" t="s">
        <v>68</v>
      </c>
      <c r="B4" t="s">
        <v>148</v>
      </c>
    </row>
    <row r="5" spans="1:2" x14ac:dyDescent="0.35">
      <c r="A5" t="s">
        <v>39</v>
      </c>
      <c r="B5" t="s">
        <v>149</v>
      </c>
    </row>
    <row r="6" spans="1:2" x14ac:dyDescent="0.35">
      <c r="A6" t="s">
        <v>24</v>
      </c>
      <c r="B6" t="s">
        <v>150</v>
      </c>
    </row>
    <row r="7" spans="1:2" x14ac:dyDescent="0.35">
      <c r="A7" t="s">
        <v>20</v>
      </c>
      <c r="B7" t="s">
        <v>151</v>
      </c>
    </row>
  </sheetData>
  <sortState xmlns:xlrd2="http://schemas.microsoft.com/office/spreadsheetml/2017/richdata2" ref="A2:A7">
    <sortCondition ref="A2"/>
  </sortState>
  <conditionalFormatting sqref="A1:A7 A90:A1048576">
    <cfRule type="duplicateValues" dxfId="16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89"/>
  <sheetViews>
    <sheetView zoomScaleNormal="100" workbookViewId="0">
      <selection activeCell="C13" sqref="C13"/>
    </sheetView>
  </sheetViews>
  <sheetFormatPr defaultRowHeight="14.5" x14ac:dyDescent="0.35"/>
  <cols>
    <col min="1" max="1" width="14.36328125" customWidth="1"/>
    <col min="2" max="2" width="13.7265625" customWidth="1"/>
    <col min="3" max="3" width="15.08984375" customWidth="1"/>
    <col min="4" max="4" width="19.453125" style="4" bestFit="1" customWidth="1"/>
    <col min="5" max="5" width="20.7265625" customWidth="1"/>
  </cols>
  <sheetData>
    <row r="1" spans="1:5" s="5" customFormat="1" x14ac:dyDescent="0.35">
      <c r="A1" s="5" t="s">
        <v>0</v>
      </c>
      <c r="B1" s="5" t="s">
        <v>154</v>
      </c>
      <c r="C1" s="5" t="s">
        <v>5</v>
      </c>
      <c r="D1" s="5" t="s">
        <v>6</v>
      </c>
      <c r="E1" s="5" t="s">
        <v>143</v>
      </c>
    </row>
    <row r="2" spans="1:5" x14ac:dyDescent="0.35">
      <c r="A2" s="3" t="s">
        <v>17</v>
      </c>
      <c r="B2" t="s">
        <v>155</v>
      </c>
      <c r="C2">
        <v>39</v>
      </c>
      <c r="D2" s="4" t="s">
        <v>19</v>
      </c>
      <c r="E2" t="s">
        <v>145</v>
      </c>
    </row>
    <row r="3" spans="1:5" x14ac:dyDescent="0.35">
      <c r="A3" s="3" t="s">
        <v>133</v>
      </c>
      <c r="B3" t="s">
        <v>156</v>
      </c>
      <c r="C3">
        <v>44</v>
      </c>
      <c r="D3" s="4" t="s">
        <v>19</v>
      </c>
      <c r="E3" t="s">
        <v>144</v>
      </c>
    </row>
    <row r="4" spans="1:5" x14ac:dyDescent="0.35">
      <c r="A4" s="3" t="s">
        <v>26</v>
      </c>
      <c r="B4" t="s">
        <v>157</v>
      </c>
      <c r="C4">
        <v>37</v>
      </c>
      <c r="D4" s="4" t="s">
        <v>19</v>
      </c>
      <c r="E4" t="s">
        <v>144</v>
      </c>
    </row>
    <row r="5" spans="1:5" x14ac:dyDescent="0.35">
      <c r="A5" s="3" t="s">
        <v>27</v>
      </c>
      <c r="B5" t="s">
        <v>158</v>
      </c>
      <c r="C5">
        <v>31</v>
      </c>
      <c r="D5" s="4" t="s">
        <v>28</v>
      </c>
      <c r="E5" t="s">
        <v>145</v>
      </c>
    </row>
    <row r="6" spans="1:5" x14ac:dyDescent="0.35">
      <c r="A6" s="3" t="s">
        <v>31</v>
      </c>
      <c r="B6" t="s">
        <v>159</v>
      </c>
      <c r="C6">
        <v>37</v>
      </c>
      <c r="D6" s="4" t="s">
        <v>19</v>
      </c>
      <c r="E6" t="s">
        <v>145</v>
      </c>
    </row>
    <row r="7" spans="1:5" x14ac:dyDescent="0.35">
      <c r="A7" s="3" t="s">
        <v>32</v>
      </c>
      <c r="B7" t="s">
        <v>160</v>
      </c>
      <c r="C7">
        <v>24</v>
      </c>
      <c r="D7" s="4" t="s">
        <v>33</v>
      </c>
      <c r="E7" t="s">
        <v>145</v>
      </c>
    </row>
    <row r="8" spans="1:5" x14ac:dyDescent="0.35">
      <c r="A8" s="3" t="s">
        <v>34</v>
      </c>
      <c r="B8" t="s">
        <v>161</v>
      </c>
      <c r="C8">
        <v>37</v>
      </c>
      <c r="D8" s="4" t="s">
        <v>19</v>
      </c>
      <c r="E8" t="s">
        <v>144</v>
      </c>
    </row>
    <row r="9" spans="1:5" x14ac:dyDescent="0.35">
      <c r="A9" s="3" t="s">
        <v>36</v>
      </c>
      <c r="B9" t="s">
        <v>162</v>
      </c>
      <c r="C9">
        <v>31</v>
      </c>
      <c r="D9" s="4" t="s">
        <v>28</v>
      </c>
      <c r="E9" t="s">
        <v>145</v>
      </c>
    </row>
    <row r="10" spans="1:5" x14ac:dyDescent="0.35">
      <c r="A10" s="3" t="s">
        <v>37</v>
      </c>
      <c r="B10" t="s">
        <v>163</v>
      </c>
      <c r="C10">
        <v>39</v>
      </c>
      <c r="D10" s="4" t="s">
        <v>19</v>
      </c>
      <c r="E10" t="s">
        <v>145</v>
      </c>
    </row>
    <row r="11" spans="1:5" x14ac:dyDescent="0.35">
      <c r="A11" s="3" t="s">
        <v>38</v>
      </c>
      <c r="B11" t="s">
        <v>164</v>
      </c>
      <c r="C11">
        <v>42</v>
      </c>
      <c r="D11" s="4" t="s">
        <v>19</v>
      </c>
      <c r="E11" t="s">
        <v>144</v>
      </c>
    </row>
    <row r="12" spans="1:5" x14ac:dyDescent="0.35">
      <c r="A12" s="3" t="s">
        <v>41</v>
      </c>
      <c r="B12" t="s">
        <v>165</v>
      </c>
      <c r="C12">
        <v>35</v>
      </c>
      <c r="D12" s="4" t="s">
        <v>19</v>
      </c>
      <c r="E12" t="s">
        <v>145</v>
      </c>
    </row>
    <row r="13" spans="1:5" x14ac:dyDescent="0.35">
      <c r="A13" s="3" t="s">
        <v>43</v>
      </c>
      <c r="B13" t="s">
        <v>166</v>
      </c>
      <c r="C13">
        <v>37</v>
      </c>
      <c r="D13" s="4" t="s">
        <v>19</v>
      </c>
      <c r="E13" t="s">
        <v>145</v>
      </c>
    </row>
    <row r="14" spans="1:5" x14ac:dyDescent="0.35">
      <c r="A14" s="3" t="s">
        <v>44</v>
      </c>
      <c r="B14" t="s">
        <v>167</v>
      </c>
      <c r="C14">
        <v>23</v>
      </c>
      <c r="D14" s="4" t="s">
        <v>33</v>
      </c>
      <c r="E14" t="s">
        <v>144</v>
      </c>
    </row>
    <row r="15" spans="1:5" x14ac:dyDescent="0.35">
      <c r="A15" s="3" t="s">
        <v>45</v>
      </c>
      <c r="B15" t="s">
        <v>168</v>
      </c>
      <c r="C15">
        <v>27</v>
      </c>
      <c r="D15" s="4" t="s">
        <v>28</v>
      </c>
      <c r="E15" t="s">
        <v>144</v>
      </c>
    </row>
    <row r="16" spans="1:5" x14ac:dyDescent="0.35">
      <c r="A16" s="3" t="s">
        <v>48</v>
      </c>
      <c r="B16" t="s">
        <v>169</v>
      </c>
      <c r="C16">
        <v>36</v>
      </c>
      <c r="D16" s="4" t="s">
        <v>33</v>
      </c>
      <c r="E16" t="s">
        <v>144</v>
      </c>
    </row>
    <row r="17" spans="1:5" x14ac:dyDescent="0.35">
      <c r="A17" s="3" t="s">
        <v>49</v>
      </c>
      <c r="B17" t="s">
        <v>170</v>
      </c>
      <c r="C17">
        <v>47</v>
      </c>
      <c r="D17" s="4" t="s">
        <v>19</v>
      </c>
      <c r="E17" t="s">
        <v>144</v>
      </c>
    </row>
    <row r="18" spans="1:5" x14ac:dyDescent="0.35">
      <c r="A18" s="3" t="s">
        <v>50</v>
      </c>
      <c r="B18" t="s">
        <v>171</v>
      </c>
      <c r="C18">
        <v>30</v>
      </c>
      <c r="D18" s="4" t="s">
        <v>28</v>
      </c>
      <c r="E18" t="s">
        <v>144</v>
      </c>
    </row>
    <row r="19" spans="1:5" x14ac:dyDescent="0.35">
      <c r="A19" s="3" t="s">
        <v>51</v>
      </c>
      <c r="B19" t="s">
        <v>172</v>
      </c>
      <c r="C19">
        <v>38</v>
      </c>
      <c r="D19" s="4" t="s">
        <v>19</v>
      </c>
      <c r="E19" t="s">
        <v>144</v>
      </c>
    </row>
    <row r="20" spans="1:5" x14ac:dyDescent="0.35">
      <c r="A20" s="3" t="s">
        <v>52</v>
      </c>
      <c r="B20" t="s">
        <v>173</v>
      </c>
      <c r="C20">
        <v>19</v>
      </c>
      <c r="D20" s="4" t="s">
        <v>33</v>
      </c>
      <c r="E20" t="s">
        <v>145</v>
      </c>
    </row>
    <row r="21" spans="1:5" x14ac:dyDescent="0.35">
      <c r="A21" s="3" t="s">
        <v>53</v>
      </c>
      <c r="B21" t="s">
        <v>174</v>
      </c>
      <c r="C21">
        <v>30</v>
      </c>
      <c r="D21" s="4" t="s">
        <v>28</v>
      </c>
      <c r="E21" t="s">
        <v>145</v>
      </c>
    </row>
    <row r="22" spans="1:5" x14ac:dyDescent="0.35">
      <c r="A22" s="3" t="s">
        <v>54</v>
      </c>
      <c r="B22" t="s">
        <v>175</v>
      </c>
      <c r="C22">
        <v>39</v>
      </c>
      <c r="D22" s="4" t="s">
        <v>19</v>
      </c>
      <c r="E22" t="s">
        <v>145</v>
      </c>
    </row>
    <row r="23" spans="1:5" x14ac:dyDescent="0.35">
      <c r="A23" s="3" t="s">
        <v>56</v>
      </c>
      <c r="B23" t="s">
        <v>176</v>
      </c>
      <c r="C23">
        <v>35</v>
      </c>
      <c r="D23" s="4" t="s">
        <v>19</v>
      </c>
      <c r="E23" t="s">
        <v>145</v>
      </c>
    </row>
    <row r="24" spans="1:5" x14ac:dyDescent="0.35">
      <c r="A24" s="3" t="s">
        <v>57</v>
      </c>
      <c r="B24" t="s">
        <v>177</v>
      </c>
      <c r="C24">
        <v>33</v>
      </c>
      <c r="D24" s="4" t="s">
        <v>28</v>
      </c>
      <c r="E24" t="s">
        <v>145</v>
      </c>
    </row>
    <row r="25" spans="1:5" x14ac:dyDescent="0.35">
      <c r="A25" s="3" t="s">
        <v>59</v>
      </c>
      <c r="B25" t="s">
        <v>178</v>
      </c>
      <c r="C25">
        <v>41</v>
      </c>
      <c r="D25" s="4" t="s">
        <v>19</v>
      </c>
      <c r="E25" t="s">
        <v>145</v>
      </c>
    </row>
    <row r="26" spans="1:5" x14ac:dyDescent="0.35">
      <c r="A26" s="3" t="s">
        <v>61</v>
      </c>
      <c r="B26" t="s">
        <v>179</v>
      </c>
      <c r="C26">
        <v>34</v>
      </c>
      <c r="D26" s="4" t="s">
        <v>28</v>
      </c>
      <c r="E26" t="s">
        <v>145</v>
      </c>
    </row>
    <row r="27" spans="1:5" x14ac:dyDescent="0.35">
      <c r="A27" s="3" t="s">
        <v>62</v>
      </c>
      <c r="B27" t="s">
        <v>180</v>
      </c>
      <c r="C27">
        <v>40</v>
      </c>
      <c r="D27" s="4" t="s">
        <v>19</v>
      </c>
      <c r="E27" t="s">
        <v>144</v>
      </c>
    </row>
    <row r="28" spans="1:5" x14ac:dyDescent="0.35">
      <c r="A28" s="3" t="s">
        <v>63</v>
      </c>
      <c r="B28" t="s">
        <v>181</v>
      </c>
      <c r="C28">
        <v>26</v>
      </c>
      <c r="D28" s="4" t="s">
        <v>28</v>
      </c>
      <c r="E28" t="s">
        <v>144</v>
      </c>
    </row>
    <row r="29" spans="1:5" x14ac:dyDescent="0.35">
      <c r="A29" s="3" t="s">
        <v>64</v>
      </c>
      <c r="B29" t="s">
        <v>182</v>
      </c>
      <c r="C29">
        <v>34</v>
      </c>
      <c r="D29" s="4" t="s">
        <v>28</v>
      </c>
      <c r="E29" t="s">
        <v>144</v>
      </c>
    </row>
    <row r="30" spans="1:5" x14ac:dyDescent="0.35">
      <c r="A30" s="3" t="s">
        <v>65</v>
      </c>
      <c r="B30" t="s">
        <v>183</v>
      </c>
      <c r="C30">
        <v>34</v>
      </c>
      <c r="D30" s="4" t="s">
        <v>28</v>
      </c>
      <c r="E30" t="s">
        <v>145</v>
      </c>
    </row>
    <row r="31" spans="1:5" x14ac:dyDescent="0.35">
      <c r="A31" s="3" t="s">
        <v>66</v>
      </c>
      <c r="B31" t="s">
        <v>184</v>
      </c>
      <c r="C31">
        <v>38</v>
      </c>
      <c r="D31" s="4" t="s">
        <v>19</v>
      </c>
      <c r="E31" t="s">
        <v>144</v>
      </c>
    </row>
    <row r="32" spans="1:5" x14ac:dyDescent="0.35">
      <c r="A32" s="3" t="s">
        <v>67</v>
      </c>
      <c r="B32" t="s">
        <v>185</v>
      </c>
      <c r="C32">
        <v>24</v>
      </c>
      <c r="D32" s="4" t="s">
        <v>33</v>
      </c>
      <c r="E32" t="s">
        <v>145</v>
      </c>
    </row>
    <row r="33" spans="1:5" x14ac:dyDescent="0.35">
      <c r="A33" s="3" t="s">
        <v>70</v>
      </c>
      <c r="B33" t="s">
        <v>186</v>
      </c>
      <c r="C33">
        <v>41</v>
      </c>
      <c r="D33" s="4" t="s">
        <v>19</v>
      </c>
      <c r="E33" t="s">
        <v>145</v>
      </c>
    </row>
    <row r="34" spans="1:5" x14ac:dyDescent="0.35">
      <c r="A34" s="3" t="s">
        <v>71</v>
      </c>
      <c r="B34" t="s">
        <v>187</v>
      </c>
      <c r="C34">
        <v>27</v>
      </c>
      <c r="D34" s="4" t="s">
        <v>28</v>
      </c>
      <c r="E34" t="s">
        <v>144</v>
      </c>
    </row>
    <row r="35" spans="1:5" x14ac:dyDescent="0.35">
      <c r="A35" s="3" t="s">
        <v>72</v>
      </c>
      <c r="B35" t="s">
        <v>188</v>
      </c>
      <c r="C35">
        <v>37</v>
      </c>
      <c r="D35" s="4" t="s">
        <v>19</v>
      </c>
      <c r="E35" t="s">
        <v>144</v>
      </c>
    </row>
    <row r="36" spans="1:5" x14ac:dyDescent="0.35">
      <c r="A36" s="3" t="s">
        <v>73</v>
      </c>
      <c r="B36" t="s">
        <v>189</v>
      </c>
      <c r="C36">
        <v>38</v>
      </c>
      <c r="D36" s="4" t="s">
        <v>19</v>
      </c>
      <c r="E36" t="s">
        <v>145</v>
      </c>
    </row>
    <row r="37" spans="1:5" x14ac:dyDescent="0.35">
      <c r="A37" s="3" t="s">
        <v>74</v>
      </c>
      <c r="B37" t="s">
        <v>190</v>
      </c>
      <c r="C37">
        <v>36</v>
      </c>
      <c r="D37" s="4" t="s">
        <v>19</v>
      </c>
      <c r="E37" t="s">
        <v>145</v>
      </c>
    </row>
    <row r="38" spans="1:5" x14ac:dyDescent="0.35">
      <c r="A38" s="3" t="s">
        <v>75</v>
      </c>
      <c r="B38" t="s">
        <v>191</v>
      </c>
      <c r="C38">
        <v>37</v>
      </c>
      <c r="D38" s="4" t="s">
        <v>19</v>
      </c>
      <c r="E38" t="s">
        <v>144</v>
      </c>
    </row>
    <row r="39" spans="1:5" x14ac:dyDescent="0.35">
      <c r="A39" s="3" t="s">
        <v>76</v>
      </c>
      <c r="B39" t="s">
        <v>192</v>
      </c>
      <c r="C39">
        <v>34</v>
      </c>
      <c r="D39" s="4" t="s">
        <v>28</v>
      </c>
      <c r="E39" t="s">
        <v>144</v>
      </c>
    </row>
    <row r="40" spans="1:5" x14ac:dyDescent="0.35">
      <c r="A40" s="3" t="s">
        <v>77</v>
      </c>
      <c r="B40" t="s">
        <v>193</v>
      </c>
      <c r="C40">
        <v>35</v>
      </c>
      <c r="D40" s="4" t="s">
        <v>19</v>
      </c>
      <c r="E40" t="s">
        <v>145</v>
      </c>
    </row>
    <row r="41" spans="1:5" x14ac:dyDescent="0.35">
      <c r="A41" s="3" t="s">
        <v>78</v>
      </c>
      <c r="B41" t="s">
        <v>194</v>
      </c>
      <c r="C41">
        <v>38</v>
      </c>
      <c r="D41" s="4" t="s">
        <v>19</v>
      </c>
      <c r="E41" t="s">
        <v>145</v>
      </c>
    </row>
    <row r="42" spans="1:5" x14ac:dyDescent="0.35">
      <c r="A42" s="3" t="s">
        <v>79</v>
      </c>
      <c r="B42" t="s">
        <v>195</v>
      </c>
      <c r="C42">
        <v>32</v>
      </c>
      <c r="D42" s="4" t="s">
        <v>28</v>
      </c>
      <c r="E42" t="s">
        <v>145</v>
      </c>
    </row>
    <row r="43" spans="1:5" x14ac:dyDescent="0.35">
      <c r="A43" s="3" t="s">
        <v>80</v>
      </c>
      <c r="B43" t="s">
        <v>196</v>
      </c>
      <c r="C43">
        <v>40</v>
      </c>
      <c r="D43" s="4" t="s">
        <v>19</v>
      </c>
      <c r="E43" t="s">
        <v>145</v>
      </c>
    </row>
    <row r="44" spans="1:5" x14ac:dyDescent="0.35">
      <c r="A44" s="3" t="s">
        <v>81</v>
      </c>
      <c r="B44" t="s">
        <v>197</v>
      </c>
      <c r="C44">
        <v>44</v>
      </c>
      <c r="D44" s="4" t="s">
        <v>19</v>
      </c>
      <c r="E44" t="s">
        <v>145</v>
      </c>
    </row>
    <row r="45" spans="1:5" x14ac:dyDescent="0.35">
      <c r="A45" s="3" t="s">
        <v>82</v>
      </c>
      <c r="B45" t="s">
        <v>198</v>
      </c>
      <c r="C45">
        <v>49</v>
      </c>
      <c r="D45" s="4" t="s">
        <v>19</v>
      </c>
      <c r="E45" t="s">
        <v>144</v>
      </c>
    </row>
    <row r="46" spans="1:5" x14ac:dyDescent="0.35">
      <c r="A46" s="3" t="s">
        <v>83</v>
      </c>
      <c r="B46" t="s">
        <v>199</v>
      </c>
      <c r="C46">
        <v>30</v>
      </c>
      <c r="D46" s="4" t="s">
        <v>28</v>
      </c>
      <c r="E46" t="s">
        <v>145</v>
      </c>
    </row>
    <row r="47" spans="1:5" x14ac:dyDescent="0.35">
      <c r="A47" s="3" t="s">
        <v>84</v>
      </c>
      <c r="B47" t="s">
        <v>200</v>
      </c>
      <c r="C47">
        <v>32</v>
      </c>
      <c r="D47" s="4" t="s">
        <v>28</v>
      </c>
      <c r="E47" t="s">
        <v>144</v>
      </c>
    </row>
    <row r="48" spans="1:5" x14ac:dyDescent="0.35">
      <c r="A48" s="3" t="s">
        <v>85</v>
      </c>
      <c r="B48" t="s">
        <v>201</v>
      </c>
      <c r="C48">
        <v>32</v>
      </c>
      <c r="D48" s="4" t="s">
        <v>28</v>
      </c>
      <c r="E48" t="s">
        <v>145</v>
      </c>
    </row>
    <row r="49" spans="1:5" x14ac:dyDescent="0.35">
      <c r="A49" s="3" t="s">
        <v>86</v>
      </c>
      <c r="B49" t="s">
        <v>202</v>
      </c>
      <c r="C49">
        <v>29</v>
      </c>
      <c r="D49" s="4" t="s">
        <v>28</v>
      </c>
      <c r="E49" t="s">
        <v>145</v>
      </c>
    </row>
    <row r="50" spans="1:5" x14ac:dyDescent="0.35">
      <c r="A50" s="3" t="s">
        <v>87</v>
      </c>
      <c r="B50" t="s">
        <v>203</v>
      </c>
      <c r="C50">
        <v>33</v>
      </c>
      <c r="D50" s="4" t="s">
        <v>28</v>
      </c>
      <c r="E50" t="s">
        <v>145</v>
      </c>
    </row>
    <row r="51" spans="1:5" x14ac:dyDescent="0.35">
      <c r="A51" s="3" t="s">
        <v>88</v>
      </c>
      <c r="B51" t="s">
        <v>204</v>
      </c>
      <c r="C51">
        <v>38</v>
      </c>
      <c r="D51" s="4" t="s">
        <v>19</v>
      </c>
      <c r="E51" t="s">
        <v>144</v>
      </c>
    </row>
    <row r="52" spans="1:5" x14ac:dyDescent="0.35">
      <c r="A52" s="3" t="s">
        <v>89</v>
      </c>
      <c r="B52" t="s">
        <v>205</v>
      </c>
      <c r="C52">
        <v>27</v>
      </c>
      <c r="D52" s="4" t="s">
        <v>28</v>
      </c>
      <c r="E52" t="s">
        <v>145</v>
      </c>
    </row>
    <row r="53" spans="1:5" x14ac:dyDescent="0.35">
      <c r="A53" s="3" t="s">
        <v>91</v>
      </c>
      <c r="B53" t="s">
        <v>206</v>
      </c>
      <c r="C53">
        <v>37</v>
      </c>
      <c r="D53" s="4" t="s">
        <v>19</v>
      </c>
      <c r="E53" t="s">
        <v>145</v>
      </c>
    </row>
    <row r="54" spans="1:5" x14ac:dyDescent="0.35">
      <c r="A54" s="3" t="s">
        <v>92</v>
      </c>
      <c r="B54" t="s">
        <v>207</v>
      </c>
      <c r="C54">
        <v>31</v>
      </c>
      <c r="D54" s="4" t="s">
        <v>28</v>
      </c>
      <c r="E54" t="s">
        <v>144</v>
      </c>
    </row>
    <row r="55" spans="1:5" x14ac:dyDescent="0.35">
      <c r="A55" s="3" t="s">
        <v>93</v>
      </c>
      <c r="B55" t="s">
        <v>208</v>
      </c>
      <c r="C55">
        <v>42</v>
      </c>
      <c r="D55" s="4" t="s">
        <v>19</v>
      </c>
      <c r="E55" t="s">
        <v>145</v>
      </c>
    </row>
    <row r="56" spans="1:5" x14ac:dyDescent="0.35">
      <c r="A56" s="3" t="s">
        <v>94</v>
      </c>
      <c r="B56" t="s">
        <v>209</v>
      </c>
      <c r="C56">
        <v>35</v>
      </c>
      <c r="D56" s="4" t="s">
        <v>19</v>
      </c>
      <c r="E56" t="s">
        <v>145</v>
      </c>
    </row>
    <row r="57" spans="1:5" x14ac:dyDescent="0.35">
      <c r="A57" s="3" t="s">
        <v>95</v>
      </c>
      <c r="B57" t="s">
        <v>210</v>
      </c>
      <c r="C57">
        <v>38</v>
      </c>
      <c r="D57" s="4" t="s">
        <v>19</v>
      </c>
      <c r="E57" t="s">
        <v>145</v>
      </c>
    </row>
    <row r="58" spans="1:5" x14ac:dyDescent="0.35">
      <c r="A58" s="3" t="s">
        <v>96</v>
      </c>
      <c r="B58" t="s">
        <v>211</v>
      </c>
      <c r="C58">
        <v>24</v>
      </c>
      <c r="D58" s="4" t="s">
        <v>33</v>
      </c>
      <c r="E58" t="s">
        <v>145</v>
      </c>
    </row>
    <row r="59" spans="1:5" x14ac:dyDescent="0.35">
      <c r="A59" s="3" t="s">
        <v>98</v>
      </c>
      <c r="B59" t="s">
        <v>212</v>
      </c>
      <c r="C59">
        <v>26</v>
      </c>
      <c r="D59" s="4" t="s">
        <v>28</v>
      </c>
      <c r="E59" t="s">
        <v>145</v>
      </c>
    </row>
    <row r="60" spans="1:5" x14ac:dyDescent="0.35">
      <c r="A60" s="3" t="s">
        <v>99</v>
      </c>
      <c r="B60" t="s">
        <v>213</v>
      </c>
      <c r="C60">
        <v>39</v>
      </c>
      <c r="D60" s="4" t="s">
        <v>19</v>
      </c>
      <c r="E60" t="s">
        <v>144</v>
      </c>
    </row>
    <row r="61" spans="1:5" x14ac:dyDescent="0.35">
      <c r="A61" s="3" t="s">
        <v>100</v>
      </c>
      <c r="B61" t="s">
        <v>214</v>
      </c>
      <c r="C61">
        <v>26</v>
      </c>
      <c r="D61" s="4" t="s">
        <v>28</v>
      </c>
      <c r="E61" t="s">
        <v>144</v>
      </c>
    </row>
    <row r="62" spans="1:5" x14ac:dyDescent="0.35">
      <c r="A62" s="3" t="s">
        <v>101</v>
      </c>
      <c r="B62" t="s">
        <v>215</v>
      </c>
      <c r="C62">
        <v>36</v>
      </c>
      <c r="D62" s="4" t="s">
        <v>19</v>
      </c>
      <c r="E62" t="s">
        <v>144</v>
      </c>
    </row>
    <row r="63" spans="1:5" x14ac:dyDescent="0.35">
      <c r="A63" s="3" t="s">
        <v>102</v>
      </c>
      <c r="B63" t="s">
        <v>216</v>
      </c>
      <c r="C63">
        <v>17</v>
      </c>
      <c r="D63" s="4" t="s">
        <v>33</v>
      </c>
      <c r="E63" t="s">
        <v>144</v>
      </c>
    </row>
    <row r="64" spans="1:5" x14ac:dyDescent="0.35">
      <c r="A64" s="3" t="s">
        <v>104</v>
      </c>
      <c r="B64" t="s">
        <v>217</v>
      </c>
      <c r="C64">
        <v>19</v>
      </c>
      <c r="D64" s="4" t="s">
        <v>33</v>
      </c>
      <c r="E64" t="s">
        <v>145</v>
      </c>
    </row>
    <row r="65" spans="1:5" x14ac:dyDescent="0.35">
      <c r="A65" s="3" t="s">
        <v>105</v>
      </c>
      <c r="B65" t="s">
        <v>218</v>
      </c>
      <c r="C65">
        <v>25</v>
      </c>
      <c r="D65" s="4" t="s">
        <v>28</v>
      </c>
      <c r="E65" t="s">
        <v>144</v>
      </c>
    </row>
    <row r="66" spans="1:5" x14ac:dyDescent="0.35">
      <c r="A66" s="3" t="s">
        <v>106</v>
      </c>
      <c r="B66" t="s">
        <v>219</v>
      </c>
      <c r="C66">
        <v>35</v>
      </c>
      <c r="D66" s="4" t="s">
        <v>19</v>
      </c>
      <c r="E66" t="s">
        <v>145</v>
      </c>
    </row>
    <row r="67" spans="1:5" x14ac:dyDescent="0.35">
      <c r="A67" s="3" t="s">
        <v>107</v>
      </c>
      <c r="B67" t="s">
        <v>220</v>
      </c>
      <c r="C67">
        <v>37</v>
      </c>
      <c r="D67" s="4" t="s">
        <v>19</v>
      </c>
      <c r="E67" t="s">
        <v>144</v>
      </c>
    </row>
    <row r="68" spans="1:5" x14ac:dyDescent="0.35">
      <c r="A68" s="3" t="s">
        <v>108</v>
      </c>
      <c r="B68" t="s">
        <v>221</v>
      </c>
      <c r="C68">
        <v>39</v>
      </c>
      <c r="D68" s="4" t="s">
        <v>19</v>
      </c>
      <c r="E68" t="s">
        <v>145</v>
      </c>
    </row>
    <row r="69" spans="1:5" x14ac:dyDescent="0.35">
      <c r="A69" s="3" t="s">
        <v>109</v>
      </c>
      <c r="B69" t="s">
        <v>222</v>
      </c>
      <c r="C69">
        <v>63</v>
      </c>
      <c r="D69" s="4" t="s">
        <v>19</v>
      </c>
      <c r="E69" t="s">
        <v>145</v>
      </c>
    </row>
    <row r="70" spans="1:5" x14ac:dyDescent="0.35">
      <c r="A70" s="3" t="s">
        <v>110</v>
      </c>
      <c r="B70" t="s">
        <v>223</v>
      </c>
      <c r="C70">
        <v>18</v>
      </c>
      <c r="D70" s="4" t="s">
        <v>33</v>
      </c>
      <c r="E70" t="s">
        <v>144</v>
      </c>
    </row>
    <row r="71" spans="1:5" x14ac:dyDescent="0.35">
      <c r="A71" s="3" t="s">
        <v>112</v>
      </c>
      <c r="B71" t="s">
        <v>224</v>
      </c>
      <c r="C71">
        <v>56</v>
      </c>
      <c r="D71" s="4" t="s">
        <v>19</v>
      </c>
      <c r="E71" t="s">
        <v>145</v>
      </c>
    </row>
    <row r="72" spans="1:5" x14ac:dyDescent="0.35">
      <c r="A72" s="3" t="s">
        <v>114</v>
      </c>
      <c r="B72" t="s">
        <v>225</v>
      </c>
      <c r="C72">
        <v>39</v>
      </c>
      <c r="D72" s="4" t="s">
        <v>19</v>
      </c>
      <c r="E72" t="s">
        <v>145</v>
      </c>
    </row>
    <row r="73" spans="1:5" x14ac:dyDescent="0.35">
      <c r="A73" s="3" t="s">
        <v>115</v>
      </c>
      <c r="B73" t="s">
        <v>226</v>
      </c>
      <c r="C73">
        <v>33</v>
      </c>
      <c r="D73" s="4" t="s">
        <v>28</v>
      </c>
      <c r="E73" t="s">
        <v>145</v>
      </c>
    </row>
    <row r="74" spans="1:5" x14ac:dyDescent="0.35">
      <c r="A74" s="3" t="s">
        <v>116</v>
      </c>
      <c r="B74" t="s">
        <v>227</v>
      </c>
      <c r="C74">
        <v>57</v>
      </c>
      <c r="D74" s="4" t="s">
        <v>19</v>
      </c>
      <c r="E74" t="s">
        <v>144</v>
      </c>
    </row>
    <row r="75" spans="1:5" x14ac:dyDescent="0.35">
      <c r="A75" s="3" t="s">
        <v>117</v>
      </c>
      <c r="B75" t="s">
        <v>228</v>
      </c>
      <c r="C75">
        <v>29</v>
      </c>
      <c r="D75" s="4" t="s">
        <v>28</v>
      </c>
      <c r="E75" t="s">
        <v>144</v>
      </c>
    </row>
    <row r="76" spans="1:5" x14ac:dyDescent="0.35">
      <c r="A76" s="3" t="s">
        <v>118</v>
      </c>
      <c r="B76" t="s">
        <v>229</v>
      </c>
      <c r="C76">
        <v>35</v>
      </c>
      <c r="D76" s="4" t="s">
        <v>19</v>
      </c>
      <c r="E76" t="s">
        <v>145</v>
      </c>
    </row>
    <row r="77" spans="1:5" x14ac:dyDescent="0.35">
      <c r="A77" s="3" t="s">
        <v>119</v>
      </c>
      <c r="B77" t="s">
        <v>230</v>
      </c>
      <c r="C77">
        <v>35</v>
      </c>
      <c r="D77" s="4" t="s">
        <v>19</v>
      </c>
      <c r="E77" t="s">
        <v>144</v>
      </c>
    </row>
    <row r="78" spans="1:5" x14ac:dyDescent="0.35">
      <c r="A78" s="3" t="s">
        <v>120</v>
      </c>
      <c r="B78" t="s">
        <v>231</v>
      </c>
      <c r="C78">
        <v>26</v>
      </c>
      <c r="D78" s="4" t="s">
        <v>28</v>
      </c>
      <c r="E78" t="s">
        <v>144</v>
      </c>
    </row>
    <row r="79" spans="1:5" x14ac:dyDescent="0.35">
      <c r="A79" s="3" t="s">
        <v>122</v>
      </c>
      <c r="B79" t="s">
        <v>232</v>
      </c>
      <c r="C79">
        <v>23</v>
      </c>
      <c r="D79" s="4" t="s">
        <v>33</v>
      </c>
      <c r="E79" t="s">
        <v>144</v>
      </c>
    </row>
    <row r="80" spans="1:5" x14ac:dyDescent="0.35">
      <c r="A80" s="3" t="s">
        <v>123</v>
      </c>
      <c r="B80" t="s">
        <v>233</v>
      </c>
      <c r="C80">
        <v>30</v>
      </c>
      <c r="D80" s="4" t="s">
        <v>28</v>
      </c>
      <c r="E80" t="s">
        <v>145</v>
      </c>
    </row>
    <row r="81" spans="1:5" x14ac:dyDescent="0.35">
      <c r="A81" s="3" t="s">
        <v>124</v>
      </c>
      <c r="B81" t="s">
        <v>234</v>
      </c>
      <c r="C81">
        <v>41</v>
      </c>
      <c r="D81" s="4" t="s">
        <v>19</v>
      </c>
      <c r="E81" t="s">
        <v>144</v>
      </c>
    </row>
    <row r="82" spans="1:5" x14ac:dyDescent="0.35">
      <c r="A82" s="3" t="s">
        <v>125</v>
      </c>
      <c r="B82" t="s">
        <v>235</v>
      </c>
      <c r="C82">
        <v>19</v>
      </c>
      <c r="D82" s="4" t="s">
        <v>33</v>
      </c>
      <c r="E82" t="s">
        <v>145</v>
      </c>
    </row>
    <row r="83" spans="1:5" x14ac:dyDescent="0.35">
      <c r="A83" s="3" t="s">
        <v>126</v>
      </c>
      <c r="B83" t="s">
        <v>236</v>
      </c>
      <c r="C83">
        <v>25</v>
      </c>
      <c r="D83" s="4" t="s">
        <v>28</v>
      </c>
      <c r="E83" t="s">
        <v>144</v>
      </c>
    </row>
    <row r="84" spans="1:5" x14ac:dyDescent="0.35">
      <c r="A84" s="3" t="s">
        <v>127</v>
      </c>
      <c r="B84" t="s">
        <v>237</v>
      </c>
      <c r="C84">
        <v>27</v>
      </c>
      <c r="D84" s="4" t="s">
        <v>28</v>
      </c>
      <c r="E84" t="s">
        <v>145</v>
      </c>
    </row>
    <row r="85" spans="1:5" x14ac:dyDescent="0.35">
      <c r="A85" s="3" t="s">
        <v>128</v>
      </c>
      <c r="B85" t="s">
        <v>238</v>
      </c>
      <c r="C85">
        <v>41</v>
      </c>
      <c r="D85" s="4" t="s">
        <v>19</v>
      </c>
      <c r="E85" t="s">
        <v>144</v>
      </c>
    </row>
    <row r="86" spans="1:5" x14ac:dyDescent="0.35">
      <c r="A86" s="3" t="s">
        <v>129</v>
      </c>
      <c r="B86" t="s">
        <v>239</v>
      </c>
      <c r="C86">
        <v>30</v>
      </c>
      <c r="D86" s="4" t="s">
        <v>28</v>
      </c>
      <c r="E86" t="s">
        <v>145</v>
      </c>
    </row>
    <row r="87" spans="1:5" x14ac:dyDescent="0.35">
      <c r="A87" s="3" t="s">
        <v>130</v>
      </c>
      <c r="B87" t="s">
        <v>240</v>
      </c>
      <c r="C87">
        <v>31</v>
      </c>
      <c r="D87" s="4" t="s">
        <v>28</v>
      </c>
      <c r="E87" t="s">
        <v>145</v>
      </c>
    </row>
    <row r="88" spans="1:5" x14ac:dyDescent="0.35">
      <c r="A88" s="3" t="s">
        <v>131</v>
      </c>
      <c r="B88" t="s">
        <v>241</v>
      </c>
      <c r="C88">
        <v>35</v>
      </c>
      <c r="D88" s="4" t="s">
        <v>19</v>
      </c>
      <c r="E88" t="s">
        <v>145</v>
      </c>
    </row>
    <row r="89" spans="1:5" x14ac:dyDescent="0.35">
      <c r="A89" s="3" t="s">
        <v>132</v>
      </c>
      <c r="B89" t="s">
        <v>242</v>
      </c>
      <c r="C89">
        <v>38</v>
      </c>
      <c r="D89" s="4" t="s">
        <v>19</v>
      </c>
      <c r="E89" t="s">
        <v>144</v>
      </c>
    </row>
  </sheetData>
  <conditionalFormatting sqref="A1:A1048576">
    <cfRule type="duplicateValues" dxfId="15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89"/>
  <sheetViews>
    <sheetView zoomScaleNormal="100" workbookViewId="0">
      <selection activeCell="N10" sqref="N10"/>
    </sheetView>
  </sheetViews>
  <sheetFormatPr defaultRowHeight="14.5" x14ac:dyDescent="0.35"/>
  <cols>
    <col min="1" max="1" width="13.26953125" customWidth="1"/>
    <col min="2" max="2" width="14.36328125" customWidth="1"/>
    <col min="3" max="3" width="10.453125" bestFit="1" customWidth="1"/>
    <col min="4" max="4" width="11.81640625" customWidth="1"/>
    <col min="5" max="5" width="9.6328125" customWidth="1"/>
    <col min="6" max="6" width="9.36328125" customWidth="1"/>
    <col min="7" max="7" width="11.1796875" customWidth="1"/>
    <col min="8" max="8" width="16.08984375" customWidth="1"/>
    <col min="9" max="9" width="12" customWidth="1"/>
    <col min="10" max="10" width="12.36328125" customWidth="1"/>
    <col min="11" max="12" width="9.453125" bestFit="1" customWidth="1"/>
    <col min="13" max="13" width="10.453125" bestFit="1" customWidth="1"/>
  </cols>
  <sheetData>
    <row r="1" spans="1:13" s="5" customFormat="1" x14ac:dyDescent="0.35">
      <c r="A1" s="23" t="s">
        <v>154</v>
      </c>
      <c r="B1" s="23" t="s">
        <v>0</v>
      </c>
      <c r="C1" s="23" t="s">
        <v>1</v>
      </c>
      <c r="D1" s="23" t="s">
        <v>152</v>
      </c>
      <c r="E1" s="23" t="s">
        <v>260</v>
      </c>
      <c r="F1" s="24" t="s">
        <v>261</v>
      </c>
      <c r="G1" s="10" t="s">
        <v>263</v>
      </c>
      <c r="H1" s="23" t="s">
        <v>11</v>
      </c>
      <c r="I1" s="23" t="s">
        <v>12</v>
      </c>
      <c r="J1" s="23" t="s">
        <v>13</v>
      </c>
      <c r="K1" s="23" t="s">
        <v>14</v>
      </c>
      <c r="L1" s="23" t="s">
        <v>15</v>
      </c>
      <c r="M1" s="23" t="s">
        <v>16</v>
      </c>
    </row>
    <row r="2" spans="1:13" x14ac:dyDescent="0.35">
      <c r="A2" s="17" t="s">
        <v>155</v>
      </c>
      <c r="B2" s="13" t="s">
        <v>17</v>
      </c>
      <c r="C2" s="14">
        <v>44531</v>
      </c>
      <c r="D2" s="14" t="s">
        <v>151</v>
      </c>
      <c r="E2" s="14" t="s">
        <v>244</v>
      </c>
      <c r="F2" s="15" t="s">
        <v>153</v>
      </c>
      <c r="G2" s="16" t="s">
        <v>262</v>
      </c>
      <c r="H2" s="17">
        <v>4</v>
      </c>
      <c r="I2" s="18">
        <v>1252</v>
      </c>
      <c r="J2" s="18">
        <v>2295</v>
      </c>
      <c r="K2" s="18">
        <v>4172</v>
      </c>
      <c r="L2" s="18">
        <f t="shared" ref="L2:L33" si="0">H2*I2</f>
        <v>5008</v>
      </c>
      <c r="M2" s="18">
        <f t="shared" ref="M2:M33" si="1">H2*J2</f>
        <v>9180</v>
      </c>
    </row>
    <row r="3" spans="1:13" x14ac:dyDescent="0.35">
      <c r="A3" s="21" t="s">
        <v>156</v>
      </c>
      <c r="B3" s="19" t="s">
        <v>133</v>
      </c>
      <c r="C3" s="20">
        <v>44531</v>
      </c>
      <c r="D3" s="20" t="s">
        <v>150</v>
      </c>
      <c r="E3" s="20" t="s">
        <v>245</v>
      </c>
      <c r="F3" s="15" t="s">
        <v>153</v>
      </c>
      <c r="G3" s="16" t="s">
        <v>262</v>
      </c>
      <c r="H3" s="21">
        <v>1</v>
      </c>
      <c r="I3" s="22">
        <v>1266</v>
      </c>
      <c r="J3" s="22">
        <v>2320</v>
      </c>
      <c r="K3" s="22">
        <v>1054</v>
      </c>
      <c r="L3" s="22">
        <f t="shared" si="0"/>
        <v>1266</v>
      </c>
      <c r="M3" s="22">
        <f t="shared" si="1"/>
        <v>2320</v>
      </c>
    </row>
    <row r="4" spans="1:13" x14ac:dyDescent="0.35">
      <c r="A4" s="17" t="s">
        <v>157</v>
      </c>
      <c r="B4" s="13" t="s">
        <v>26</v>
      </c>
      <c r="C4" s="14">
        <v>44532</v>
      </c>
      <c r="D4" s="14" t="s">
        <v>151</v>
      </c>
      <c r="E4" s="14" t="s">
        <v>244</v>
      </c>
      <c r="F4" s="15" t="s">
        <v>153</v>
      </c>
      <c r="G4" s="16" t="s">
        <v>262</v>
      </c>
      <c r="H4" s="17">
        <v>2</v>
      </c>
      <c r="I4" s="18">
        <v>420</v>
      </c>
      <c r="J4" s="18">
        <v>769</v>
      </c>
      <c r="K4" s="18">
        <v>698</v>
      </c>
      <c r="L4" s="18">
        <f t="shared" si="0"/>
        <v>840</v>
      </c>
      <c r="M4" s="18">
        <f t="shared" si="1"/>
        <v>1538</v>
      </c>
    </row>
    <row r="5" spans="1:13" x14ac:dyDescent="0.35">
      <c r="A5" s="21" t="s">
        <v>158</v>
      </c>
      <c r="B5" s="19" t="s">
        <v>27</v>
      </c>
      <c r="C5" s="20">
        <v>44532</v>
      </c>
      <c r="D5" s="20" t="s">
        <v>146</v>
      </c>
      <c r="E5" s="20" t="s">
        <v>248</v>
      </c>
      <c r="F5" s="15" t="s">
        <v>153</v>
      </c>
      <c r="G5" s="16" t="s">
        <v>262</v>
      </c>
      <c r="H5" s="21">
        <v>1</v>
      </c>
      <c r="I5" s="22">
        <v>420</v>
      </c>
      <c r="J5" s="22">
        <v>769</v>
      </c>
      <c r="K5" s="22">
        <v>349</v>
      </c>
      <c r="L5" s="22">
        <f t="shared" si="0"/>
        <v>420</v>
      </c>
      <c r="M5" s="22">
        <f t="shared" si="1"/>
        <v>769</v>
      </c>
    </row>
    <row r="6" spans="1:13" x14ac:dyDescent="0.35">
      <c r="A6" s="17" t="s">
        <v>159</v>
      </c>
      <c r="B6" s="13" t="s">
        <v>31</v>
      </c>
      <c r="C6" s="14">
        <v>44533</v>
      </c>
      <c r="D6" s="14" t="s">
        <v>151</v>
      </c>
      <c r="E6" s="14" t="s">
        <v>244</v>
      </c>
      <c r="F6" s="15" t="s">
        <v>153</v>
      </c>
      <c r="G6" s="16" t="s">
        <v>262</v>
      </c>
      <c r="H6" s="17">
        <v>2</v>
      </c>
      <c r="I6" s="18">
        <v>1252</v>
      </c>
      <c r="J6" s="18">
        <v>2295</v>
      </c>
      <c r="K6" s="18">
        <v>2086</v>
      </c>
      <c r="L6" s="18">
        <f t="shared" si="0"/>
        <v>2504</v>
      </c>
      <c r="M6" s="18">
        <f t="shared" si="1"/>
        <v>4590</v>
      </c>
    </row>
    <row r="7" spans="1:13" x14ac:dyDescent="0.35">
      <c r="A7" s="21" t="s">
        <v>160</v>
      </c>
      <c r="B7" s="19" t="s">
        <v>32</v>
      </c>
      <c r="C7" s="20">
        <v>44533</v>
      </c>
      <c r="D7" s="20" t="s">
        <v>150</v>
      </c>
      <c r="E7" s="20" t="s">
        <v>245</v>
      </c>
      <c r="F7" s="15" t="s">
        <v>153</v>
      </c>
      <c r="G7" s="16" t="s">
        <v>262</v>
      </c>
      <c r="H7" s="21">
        <v>1</v>
      </c>
      <c r="I7" s="22">
        <v>1252</v>
      </c>
      <c r="J7" s="22">
        <v>2295</v>
      </c>
      <c r="K7" s="22">
        <v>1043</v>
      </c>
      <c r="L7" s="22">
        <f t="shared" si="0"/>
        <v>1252</v>
      </c>
      <c r="M7" s="22">
        <f t="shared" si="1"/>
        <v>2295</v>
      </c>
    </row>
    <row r="8" spans="1:13" x14ac:dyDescent="0.35">
      <c r="A8" s="17" t="s">
        <v>161</v>
      </c>
      <c r="B8" s="13" t="s">
        <v>34</v>
      </c>
      <c r="C8" s="14">
        <v>44533</v>
      </c>
      <c r="D8" s="14" t="s">
        <v>151</v>
      </c>
      <c r="E8" s="14" t="s">
        <v>258</v>
      </c>
      <c r="F8" s="15" t="s">
        <v>153</v>
      </c>
      <c r="G8" s="16" t="s">
        <v>262</v>
      </c>
      <c r="H8" s="17">
        <v>1</v>
      </c>
      <c r="I8" s="18">
        <v>1252</v>
      </c>
      <c r="J8" s="18">
        <v>2295</v>
      </c>
      <c r="K8" s="18">
        <v>1043</v>
      </c>
      <c r="L8" s="18">
        <f t="shared" si="0"/>
        <v>1252</v>
      </c>
      <c r="M8" s="18">
        <f t="shared" si="1"/>
        <v>2295</v>
      </c>
    </row>
    <row r="9" spans="1:13" x14ac:dyDescent="0.35">
      <c r="A9" s="21" t="s">
        <v>162</v>
      </c>
      <c r="B9" s="19" t="s">
        <v>36</v>
      </c>
      <c r="C9" s="20">
        <v>44534</v>
      </c>
      <c r="D9" s="20" t="s">
        <v>146</v>
      </c>
      <c r="E9" s="20" t="s">
        <v>248</v>
      </c>
      <c r="F9" s="15" t="s">
        <v>153</v>
      </c>
      <c r="G9" s="16" t="s">
        <v>262</v>
      </c>
      <c r="H9" s="21">
        <v>4</v>
      </c>
      <c r="I9" s="22">
        <v>420</v>
      </c>
      <c r="J9" s="22">
        <v>769</v>
      </c>
      <c r="K9" s="22">
        <v>1396</v>
      </c>
      <c r="L9" s="22">
        <f t="shared" si="0"/>
        <v>1680</v>
      </c>
      <c r="M9" s="22">
        <f t="shared" si="1"/>
        <v>3076</v>
      </c>
    </row>
    <row r="10" spans="1:13" x14ac:dyDescent="0.35">
      <c r="A10" s="17" t="s">
        <v>163</v>
      </c>
      <c r="B10" s="13" t="s">
        <v>37</v>
      </c>
      <c r="C10" s="14">
        <v>44535</v>
      </c>
      <c r="D10" s="14" t="s">
        <v>151</v>
      </c>
      <c r="E10" s="14" t="s">
        <v>244</v>
      </c>
      <c r="F10" s="15" t="s">
        <v>153</v>
      </c>
      <c r="G10" s="16" t="s">
        <v>262</v>
      </c>
      <c r="H10" s="17">
        <v>4</v>
      </c>
      <c r="I10" s="18">
        <v>1252</v>
      </c>
      <c r="J10" s="18">
        <v>2295</v>
      </c>
      <c r="K10" s="18">
        <v>4172</v>
      </c>
      <c r="L10" s="18">
        <f t="shared" si="0"/>
        <v>5008</v>
      </c>
      <c r="M10" s="18">
        <f t="shared" si="1"/>
        <v>9180</v>
      </c>
    </row>
    <row r="11" spans="1:13" x14ac:dyDescent="0.35">
      <c r="A11" s="21" t="s">
        <v>164</v>
      </c>
      <c r="B11" s="19" t="s">
        <v>38</v>
      </c>
      <c r="C11" s="20">
        <v>44535</v>
      </c>
      <c r="D11" s="20" t="s">
        <v>149</v>
      </c>
      <c r="E11" s="20" t="s">
        <v>250</v>
      </c>
      <c r="F11" s="15" t="s">
        <v>153</v>
      </c>
      <c r="G11" s="16" t="s">
        <v>262</v>
      </c>
      <c r="H11" s="21">
        <v>4</v>
      </c>
      <c r="I11" s="22">
        <v>1252</v>
      </c>
      <c r="J11" s="22">
        <v>2295</v>
      </c>
      <c r="K11" s="22">
        <v>4172</v>
      </c>
      <c r="L11" s="22">
        <f t="shared" si="0"/>
        <v>5008</v>
      </c>
      <c r="M11" s="22">
        <f t="shared" si="1"/>
        <v>9180</v>
      </c>
    </row>
    <row r="12" spans="1:13" x14ac:dyDescent="0.35">
      <c r="A12" s="17" t="s">
        <v>165</v>
      </c>
      <c r="B12" s="13" t="s">
        <v>41</v>
      </c>
      <c r="C12" s="14">
        <v>44535</v>
      </c>
      <c r="D12" s="14" t="s">
        <v>146</v>
      </c>
      <c r="E12" s="14" t="s">
        <v>252</v>
      </c>
      <c r="F12" s="15" t="s">
        <v>153</v>
      </c>
      <c r="G12" s="16" t="s">
        <v>262</v>
      </c>
      <c r="H12" s="17">
        <v>1</v>
      </c>
      <c r="I12" s="18">
        <v>1266</v>
      </c>
      <c r="J12" s="18">
        <v>2320</v>
      </c>
      <c r="K12" s="18">
        <v>1054</v>
      </c>
      <c r="L12" s="18">
        <f t="shared" si="0"/>
        <v>1266</v>
      </c>
      <c r="M12" s="18">
        <f t="shared" si="1"/>
        <v>2320</v>
      </c>
    </row>
    <row r="13" spans="1:13" x14ac:dyDescent="0.35">
      <c r="A13" s="21" t="s">
        <v>166</v>
      </c>
      <c r="B13" s="19" t="s">
        <v>43</v>
      </c>
      <c r="C13" s="20">
        <v>44535</v>
      </c>
      <c r="D13" s="20" t="s">
        <v>151</v>
      </c>
      <c r="E13" s="20" t="s">
        <v>244</v>
      </c>
      <c r="F13" s="15" t="s">
        <v>153</v>
      </c>
      <c r="G13" s="16" t="s">
        <v>262</v>
      </c>
      <c r="H13" s="21">
        <v>1</v>
      </c>
      <c r="I13" s="22">
        <v>1252</v>
      </c>
      <c r="J13" s="22">
        <v>2295</v>
      </c>
      <c r="K13" s="22">
        <v>1043</v>
      </c>
      <c r="L13" s="22">
        <f t="shared" si="0"/>
        <v>1252</v>
      </c>
      <c r="M13" s="22">
        <f t="shared" si="1"/>
        <v>2295</v>
      </c>
    </row>
    <row r="14" spans="1:13" x14ac:dyDescent="0.35">
      <c r="A14" s="17" t="s">
        <v>167</v>
      </c>
      <c r="B14" s="13" t="s">
        <v>44</v>
      </c>
      <c r="C14" s="14">
        <v>44536</v>
      </c>
      <c r="D14" s="14" t="s">
        <v>150</v>
      </c>
      <c r="E14" s="14" t="s">
        <v>245</v>
      </c>
      <c r="F14" s="15" t="s">
        <v>153</v>
      </c>
      <c r="G14" s="16" t="s">
        <v>262</v>
      </c>
      <c r="H14" s="17">
        <v>3</v>
      </c>
      <c r="I14" s="18">
        <v>420</v>
      </c>
      <c r="J14" s="18">
        <v>769</v>
      </c>
      <c r="K14" s="18">
        <v>1047</v>
      </c>
      <c r="L14" s="18">
        <f t="shared" si="0"/>
        <v>1260</v>
      </c>
      <c r="M14" s="18">
        <f t="shared" si="1"/>
        <v>2307</v>
      </c>
    </row>
    <row r="15" spans="1:13" x14ac:dyDescent="0.35">
      <c r="A15" s="21" t="s">
        <v>168</v>
      </c>
      <c r="B15" s="19" t="s">
        <v>45</v>
      </c>
      <c r="C15" s="20">
        <v>44536</v>
      </c>
      <c r="D15" s="20" t="s">
        <v>147</v>
      </c>
      <c r="E15" s="20" t="s">
        <v>243</v>
      </c>
      <c r="F15" s="15" t="s">
        <v>153</v>
      </c>
      <c r="G15" s="16" t="s">
        <v>262</v>
      </c>
      <c r="H15" s="21">
        <v>1</v>
      </c>
      <c r="I15" s="22">
        <v>1252</v>
      </c>
      <c r="J15" s="22">
        <v>2295</v>
      </c>
      <c r="K15" s="22">
        <v>1043</v>
      </c>
      <c r="L15" s="22">
        <f t="shared" si="0"/>
        <v>1252</v>
      </c>
      <c r="M15" s="22">
        <f t="shared" si="1"/>
        <v>2295</v>
      </c>
    </row>
    <row r="16" spans="1:13" x14ac:dyDescent="0.35">
      <c r="A16" s="17" t="s">
        <v>169</v>
      </c>
      <c r="B16" s="13" t="s">
        <v>48</v>
      </c>
      <c r="C16" s="14">
        <v>44536</v>
      </c>
      <c r="D16" s="14" t="s">
        <v>146</v>
      </c>
      <c r="E16" s="14" t="s">
        <v>248</v>
      </c>
      <c r="F16" s="15" t="s">
        <v>153</v>
      </c>
      <c r="G16" s="16" t="s">
        <v>262</v>
      </c>
      <c r="H16" s="17">
        <v>1</v>
      </c>
      <c r="I16" s="18">
        <v>1252</v>
      </c>
      <c r="J16" s="18">
        <v>2295</v>
      </c>
      <c r="K16" s="18">
        <v>1043</v>
      </c>
      <c r="L16" s="18">
        <f t="shared" si="0"/>
        <v>1252</v>
      </c>
      <c r="M16" s="18">
        <f t="shared" si="1"/>
        <v>2295</v>
      </c>
    </row>
    <row r="17" spans="1:13" x14ac:dyDescent="0.35">
      <c r="A17" s="21" t="s">
        <v>170</v>
      </c>
      <c r="B17" s="19" t="s">
        <v>49</v>
      </c>
      <c r="C17" s="20">
        <v>44536</v>
      </c>
      <c r="D17" s="20" t="s">
        <v>150</v>
      </c>
      <c r="E17" s="20" t="s">
        <v>245</v>
      </c>
      <c r="F17" s="15" t="s">
        <v>153</v>
      </c>
      <c r="G17" s="16" t="s">
        <v>262</v>
      </c>
      <c r="H17" s="21">
        <v>1</v>
      </c>
      <c r="I17" s="22">
        <v>1266</v>
      </c>
      <c r="J17" s="22">
        <v>2320</v>
      </c>
      <c r="K17" s="22">
        <v>1054</v>
      </c>
      <c r="L17" s="22">
        <f t="shared" si="0"/>
        <v>1266</v>
      </c>
      <c r="M17" s="22">
        <f t="shared" si="1"/>
        <v>2320</v>
      </c>
    </row>
    <row r="18" spans="1:13" x14ac:dyDescent="0.35">
      <c r="A18" s="17" t="s">
        <v>171</v>
      </c>
      <c r="B18" s="13" t="s">
        <v>50</v>
      </c>
      <c r="C18" s="14">
        <v>44537</v>
      </c>
      <c r="D18" s="14" t="s">
        <v>151</v>
      </c>
      <c r="E18" s="14" t="s">
        <v>244</v>
      </c>
      <c r="F18" s="15" t="s">
        <v>153</v>
      </c>
      <c r="G18" s="16" t="s">
        <v>262</v>
      </c>
      <c r="H18" s="17">
        <v>4</v>
      </c>
      <c r="I18" s="18">
        <v>420</v>
      </c>
      <c r="J18" s="18">
        <v>769</v>
      </c>
      <c r="K18" s="18">
        <v>1396</v>
      </c>
      <c r="L18" s="18">
        <f t="shared" si="0"/>
        <v>1680</v>
      </c>
      <c r="M18" s="18">
        <f t="shared" si="1"/>
        <v>3076</v>
      </c>
    </row>
    <row r="19" spans="1:13" x14ac:dyDescent="0.35">
      <c r="A19" s="21" t="s">
        <v>172</v>
      </c>
      <c r="B19" s="19" t="s">
        <v>51</v>
      </c>
      <c r="C19" s="20">
        <v>44537</v>
      </c>
      <c r="D19" s="20" t="s">
        <v>151</v>
      </c>
      <c r="E19" s="20" t="s">
        <v>244</v>
      </c>
      <c r="F19" s="15" t="s">
        <v>153</v>
      </c>
      <c r="G19" s="16" t="s">
        <v>262</v>
      </c>
      <c r="H19" s="21">
        <v>2</v>
      </c>
      <c r="I19" s="22">
        <v>1266</v>
      </c>
      <c r="J19" s="22">
        <v>2320</v>
      </c>
      <c r="K19" s="22">
        <v>2108</v>
      </c>
      <c r="L19" s="22">
        <f t="shared" si="0"/>
        <v>2532</v>
      </c>
      <c r="M19" s="22">
        <f t="shared" si="1"/>
        <v>4640</v>
      </c>
    </row>
    <row r="20" spans="1:13" x14ac:dyDescent="0.35">
      <c r="A20" s="17" t="s">
        <v>173</v>
      </c>
      <c r="B20" s="13" t="s">
        <v>52</v>
      </c>
      <c r="C20" s="14">
        <v>44538</v>
      </c>
      <c r="D20" s="14" t="s">
        <v>146</v>
      </c>
      <c r="E20" s="14" t="s">
        <v>248</v>
      </c>
      <c r="F20" s="15" t="s">
        <v>153</v>
      </c>
      <c r="G20" s="16" t="s">
        <v>262</v>
      </c>
      <c r="H20" s="17">
        <v>4</v>
      </c>
      <c r="I20" s="18">
        <v>308</v>
      </c>
      <c r="J20" s="18">
        <v>565</v>
      </c>
      <c r="K20" s="18">
        <v>1028</v>
      </c>
      <c r="L20" s="18">
        <f t="shared" si="0"/>
        <v>1232</v>
      </c>
      <c r="M20" s="18">
        <f t="shared" si="1"/>
        <v>2260</v>
      </c>
    </row>
    <row r="21" spans="1:13" x14ac:dyDescent="0.35">
      <c r="A21" s="21" t="s">
        <v>174</v>
      </c>
      <c r="B21" s="19" t="s">
        <v>53</v>
      </c>
      <c r="C21" s="20">
        <v>44538</v>
      </c>
      <c r="D21" s="20" t="s">
        <v>147</v>
      </c>
      <c r="E21" s="20" t="s">
        <v>243</v>
      </c>
      <c r="F21" s="15" t="s">
        <v>153</v>
      </c>
      <c r="G21" s="16" t="s">
        <v>262</v>
      </c>
      <c r="H21" s="21">
        <v>4</v>
      </c>
      <c r="I21" s="22">
        <v>1266</v>
      </c>
      <c r="J21" s="22">
        <v>2320</v>
      </c>
      <c r="K21" s="22">
        <v>4216</v>
      </c>
      <c r="L21" s="22">
        <f t="shared" si="0"/>
        <v>5064</v>
      </c>
      <c r="M21" s="22">
        <f t="shared" si="1"/>
        <v>9280</v>
      </c>
    </row>
    <row r="22" spans="1:13" x14ac:dyDescent="0.35">
      <c r="A22" s="17" t="s">
        <v>175</v>
      </c>
      <c r="B22" s="13" t="s">
        <v>54</v>
      </c>
      <c r="C22" s="14">
        <v>44538</v>
      </c>
      <c r="D22" s="14" t="s">
        <v>151</v>
      </c>
      <c r="E22" s="14" t="s">
        <v>251</v>
      </c>
      <c r="F22" s="15" t="s">
        <v>153</v>
      </c>
      <c r="G22" s="16" t="s">
        <v>262</v>
      </c>
      <c r="H22" s="17">
        <v>2</v>
      </c>
      <c r="I22" s="18">
        <v>1252</v>
      </c>
      <c r="J22" s="18">
        <v>2295</v>
      </c>
      <c r="K22" s="18">
        <v>2086</v>
      </c>
      <c r="L22" s="18">
        <f t="shared" si="0"/>
        <v>2504</v>
      </c>
      <c r="M22" s="18">
        <f t="shared" si="1"/>
        <v>4590</v>
      </c>
    </row>
    <row r="23" spans="1:13" x14ac:dyDescent="0.35">
      <c r="A23" s="21" t="s">
        <v>176</v>
      </c>
      <c r="B23" s="19" t="s">
        <v>56</v>
      </c>
      <c r="C23" s="20">
        <v>44538</v>
      </c>
      <c r="D23" s="20" t="s">
        <v>151</v>
      </c>
      <c r="E23" s="20" t="s">
        <v>244</v>
      </c>
      <c r="F23" s="15" t="s">
        <v>153</v>
      </c>
      <c r="G23" s="16" t="s">
        <v>262</v>
      </c>
      <c r="H23" s="21">
        <v>4</v>
      </c>
      <c r="I23" s="22">
        <v>295</v>
      </c>
      <c r="J23" s="22">
        <v>540</v>
      </c>
      <c r="K23" s="22">
        <v>245</v>
      </c>
      <c r="L23" s="22">
        <f t="shared" si="0"/>
        <v>1180</v>
      </c>
      <c r="M23" s="22">
        <f t="shared" si="1"/>
        <v>2160</v>
      </c>
    </row>
    <row r="24" spans="1:13" x14ac:dyDescent="0.35">
      <c r="A24" s="17" t="s">
        <v>177</v>
      </c>
      <c r="B24" s="13" t="s">
        <v>57</v>
      </c>
      <c r="C24" s="14">
        <v>44539</v>
      </c>
      <c r="D24" s="14" t="s">
        <v>146</v>
      </c>
      <c r="E24" s="14" t="s">
        <v>258</v>
      </c>
      <c r="F24" s="15" t="s">
        <v>153</v>
      </c>
      <c r="G24" s="16" t="s">
        <v>262</v>
      </c>
      <c r="H24" s="17">
        <v>2</v>
      </c>
      <c r="I24" s="18">
        <v>1898</v>
      </c>
      <c r="J24" s="18">
        <v>3375</v>
      </c>
      <c r="K24" s="18">
        <v>2954</v>
      </c>
      <c r="L24" s="18">
        <f t="shared" si="0"/>
        <v>3796</v>
      </c>
      <c r="M24" s="18">
        <f t="shared" si="1"/>
        <v>6750</v>
      </c>
    </row>
    <row r="25" spans="1:13" x14ac:dyDescent="0.35">
      <c r="A25" s="21" t="s">
        <v>178</v>
      </c>
      <c r="B25" s="19" t="s">
        <v>59</v>
      </c>
      <c r="C25" s="20">
        <v>44539</v>
      </c>
      <c r="D25" s="20" t="s">
        <v>149</v>
      </c>
      <c r="E25" s="20" t="s">
        <v>246</v>
      </c>
      <c r="F25" s="15" t="s">
        <v>153</v>
      </c>
      <c r="G25" s="16" t="s">
        <v>262</v>
      </c>
      <c r="H25" s="21">
        <v>1</v>
      </c>
      <c r="I25" s="22">
        <v>1266</v>
      </c>
      <c r="J25" s="22">
        <v>2320</v>
      </c>
      <c r="K25" s="22">
        <v>1054</v>
      </c>
      <c r="L25" s="22">
        <f t="shared" si="0"/>
        <v>1266</v>
      </c>
      <c r="M25" s="22">
        <f t="shared" si="1"/>
        <v>2320</v>
      </c>
    </row>
    <row r="26" spans="1:13" x14ac:dyDescent="0.35">
      <c r="A26" s="17" t="s">
        <v>179</v>
      </c>
      <c r="B26" s="13" t="s">
        <v>61</v>
      </c>
      <c r="C26" s="14">
        <v>44540</v>
      </c>
      <c r="D26" s="14" t="s">
        <v>151</v>
      </c>
      <c r="E26" s="14" t="s">
        <v>244</v>
      </c>
      <c r="F26" s="15" t="s">
        <v>153</v>
      </c>
      <c r="G26" s="16" t="s">
        <v>262</v>
      </c>
      <c r="H26" s="17">
        <v>2</v>
      </c>
      <c r="I26" s="18">
        <v>1252</v>
      </c>
      <c r="J26" s="18">
        <v>2295</v>
      </c>
      <c r="K26" s="18">
        <v>2086</v>
      </c>
      <c r="L26" s="18">
        <f t="shared" si="0"/>
        <v>2504</v>
      </c>
      <c r="M26" s="18">
        <f t="shared" si="1"/>
        <v>4590</v>
      </c>
    </row>
    <row r="27" spans="1:13" x14ac:dyDescent="0.35">
      <c r="A27" s="21" t="s">
        <v>180</v>
      </c>
      <c r="B27" s="19" t="s">
        <v>62</v>
      </c>
      <c r="C27" s="20">
        <v>44540</v>
      </c>
      <c r="D27" s="20" t="s">
        <v>146</v>
      </c>
      <c r="E27" s="20" t="s">
        <v>248</v>
      </c>
      <c r="F27" s="15" t="s">
        <v>153</v>
      </c>
      <c r="G27" s="16" t="s">
        <v>262</v>
      </c>
      <c r="H27" s="21">
        <v>2</v>
      </c>
      <c r="I27" s="22">
        <v>1252</v>
      </c>
      <c r="J27" s="22">
        <v>2295</v>
      </c>
      <c r="K27" s="22">
        <v>2086</v>
      </c>
      <c r="L27" s="22">
        <f t="shared" si="0"/>
        <v>2504</v>
      </c>
      <c r="M27" s="22">
        <f t="shared" si="1"/>
        <v>4590</v>
      </c>
    </row>
    <row r="28" spans="1:13" x14ac:dyDescent="0.35">
      <c r="A28" s="17" t="s">
        <v>181</v>
      </c>
      <c r="B28" s="13" t="s">
        <v>63</v>
      </c>
      <c r="C28" s="14">
        <v>44540</v>
      </c>
      <c r="D28" s="14" t="s">
        <v>150</v>
      </c>
      <c r="E28" s="14" t="s">
        <v>245</v>
      </c>
      <c r="F28" s="15" t="s">
        <v>153</v>
      </c>
      <c r="G28" s="16" t="s">
        <v>262</v>
      </c>
      <c r="H28" s="17">
        <v>1</v>
      </c>
      <c r="I28" s="18">
        <v>1252</v>
      </c>
      <c r="J28" s="18">
        <v>2295</v>
      </c>
      <c r="K28" s="18">
        <v>1043</v>
      </c>
      <c r="L28" s="18">
        <f t="shared" si="0"/>
        <v>1252</v>
      </c>
      <c r="M28" s="18">
        <f t="shared" si="1"/>
        <v>2295</v>
      </c>
    </row>
    <row r="29" spans="1:13" x14ac:dyDescent="0.35">
      <c r="A29" s="21" t="s">
        <v>182</v>
      </c>
      <c r="B29" s="19" t="s">
        <v>64</v>
      </c>
      <c r="C29" s="20">
        <v>44540</v>
      </c>
      <c r="D29" s="20" t="s">
        <v>151</v>
      </c>
      <c r="E29" s="20" t="s">
        <v>244</v>
      </c>
      <c r="F29" s="15" t="s">
        <v>153</v>
      </c>
      <c r="G29" s="16" t="s">
        <v>262</v>
      </c>
      <c r="H29" s="21">
        <v>1</v>
      </c>
      <c r="I29" s="22">
        <v>295</v>
      </c>
      <c r="J29" s="22">
        <v>540</v>
      </c>
      <c r="K29" s="22">
        <v>245</v>
      </c>
      <c r="L29" s="22">
        <f t="shared" si="0"/>
        <v>295</v>
      </c>
      <c r="M29" s="22">
        <f t="shared" si="1"/>
        <v>540</v>
      </c>
    </row>
    <row r="30" spans="1:13" x14ac:dyDescent="0.35">
      <c r="A30" s="17" t="s">
        <v>183</v>
      </c>
      <c r="B30" s="13" t="s">
        <v>65</v>
      </c>
      <c r="C30" s="14">
        <v>44540</v>
      </c>
      <c r="D30" s="14" t="s">
        <v>151</v>
      </c>
      <c r="E30" s="14" t="s">
        <v>258</v>
      </c>
      <c r="F30" s="15" t="s">
        <v>153</v>
      </c>
      <c r="G30" s="16" t="s">
        <v>262</v>
      </c>
      <c r="H30" s="17">
        <v>1</v>
      </c>
      <c r="I30" s="18">
        <v>1912</v>
      </c>
      <c r="J30" s="18">
        <v>3400</v>
      </c>
      <c r="K30" s="18">
        <v>1488</v>
      </c>
      <c r="L30" s="18">
        <f t="shared" si="0"/>
        <v>1912</v>
      </c>
      <c r="M30" s="18">
        <f t="shared" si="1"/>
        <v>3400</v>
      </c>
    </row>
    <row r="31" spans="1:13" x14ac:dyDescent="0.35">
      <c r="A31" s="21" t="s">
        <v>184</v>
      </c>
      <c r="B31" s="19" t="s">
        <v>66</v>
      </c>
      <c r="C31" s="20">
        <v>44540</v>
      </c>
      <c r="D31" s="20" t="s">
        <v>146</v>
      </c>
      <c r="E31" s="20" t="s">
        <v>248</v>
      </c>
      <c r="F31" s="15" t="s">
        <v>153</v>
      </c>
      <c r="G31" s="16" t="s">
        <v>262</v>
      </c>
      <c r="H31" s="21">
        <v>1</v>
      </c>
      <c r="I31" s="22">
        <v>1252</v>
      </c>
      <c r="J31" s="22">
        <v>2295</v>
      </c>
      <c r="K31" s="22">
        <v>1043</v>
      </c>
      <c r="L31" s="22">
        <f t="shared" si="0"/>
        <v>1252</v>
      </c>
      <c r="M31" s="22">
        <f t="shared" si="1"/>
        <v>2295</v>
      </c>
    </row>
    <row r="32" spans="1:13" x14ac:dyDescent="0.35">
      <c r="A32" s="17" t="s">
        <v>185</v>
      </c>
      <c r="B32" s="13" t="s">
        <v>67</v>
      </c>
      <c r="C32" s="14">
        <v>44541</v>
      </c>
      <c r="D32" s="14" t="s">
        <v>148</v>
      </c>
      <c r="E32" s="14" t="s">
        <v>253</v>
      </c>
      <c r="F32" s="15" t="s">
        <v>153</v>
      </c>
      <c r="G32" s="16" t="s">
        <v>262</v>
      </c>
      <c r="H32" s="17">
        <v>3</v>
      </c>
      <c r="I32" s="18">
        <v>1252</v>
      </c>
      <c r="J32" s="18">
        <v>2295</v>
      </c>
      <c r="K32" s="18">
        <v>3129</v>
      </c>
      <c r="L32" s="18">
        <f t="shared" si="0"/>
        <v>3756</v>
      </c>
      <c r="M32" s="18">
        <f t="shared" si="1"/>
        <v>6885</v>
      </c>
    </row>
    <row r="33" spans="1:13" x14ac:dyDescent="0.35">
      <c r="A33" s="21" t="s">
        <v>186</v>
      </c>
      <c r="B33" s="19" t="s">
        <v>70</v>
      </c>
      <c r="C33" s="20">
        <v>44541</v>
      </c>
      <c r="D33" s="20" t="s">
        <v>146</v>
      </c>
      <c r="E33" s="20" t="s">
        <v>248</v>
      </c>
      <c r="F33" s="15" t="s">
        <v>153</v>
      </c>
      <c r="G33" s="16" t="s">
        <v>262</v>
      </c>
      <c r="H33" s="21">
        <v>2</v>
      </c>
      <c r="I33" s="22">
        <v>420</v>
      </c>
      <c r="J33" s="22">
        <v>769</v>
      </c>
      <c r="K33" s="22">
        <v>698</v>
      </c>
      <c r="L33" s="22">
        <f t="shared" si="0"/>
        <v>840</v>
      </c>
      <c r="M33" s="22">
        <f t="shared" si="1"/>
        <v>1538</v>
      </c>
    </row>
    <row r="34" spans="1:13" x14ac:dyDescent="0.35">
      <c r="A34" s="17" t="s">
        <v>187</v>
      </c>
      <c r="B34" s="13" t="s">
        <v>71</v>
      </c>
      <c r="C34" s="14">
        <v>44541</v>
      </c>
      <c r="D34" s="14" t="s">
        <v>147</v>
      </c>
      <c r="E34" s="14" t="s">
        <v>243</v>
      </c>
      <c r="F34" s="15" t="s">
        <v>153</v>
      </c>
      <c r="G34" s="16" t="s">
        <v>262</v>
      </c>
      <c r="H34" s="17">
        <v>1</v>
      </c>
      <c r="I34" s="18">
        <v>1252</v>
      </c>
      <c r="J34" s="18">
        <v>2295</v>
      </c>
      <c r="K34" s="18">
        <v>1043</v>
      </c>
      <c r="L34" s="18">
        <f t="shared" ref="L34:L65" si="2">H34*I34</f>
        <v>1252</v>
      </c>
      <c r="M34" s="18">
        <f t="shared" ref="M34:M65" si="3">H34*J34</f>
        <v>2295</v>
      </c>
    </row>
    <row r="35" spans="1:13" x14ac:dyDescent="0.35">
      <c r="A35" s="21" t="s">
        <v>188</v>
      </c>
      <c r="B35" s="19" t="s">
        <v>72</v>
      </c>
      <c r="C35" s="20">
        <v>44541</v>
      </c>
      <c r="D35" s="20" t="s">
        <v>151</v>
      </c>
      <c r="E35" s="20" t="s">
        <v>244</v>
      </c>
      <c r="F35" s="15" t="s">
        <v>153</v>
      </c>
      <c r="G35" s="16" t="s">
        <v>262</v>
      </c>
      <c r="H35" s="21">
        <v>1</v>
      </c>
      <c r="I35" s="22">
        <v>420</v>
      </c>
      <c r="J35" s="22">
        <v>769</v>
      </c>
      <c r="K35" s="22">
        <v>349</v>
      </c>
      <c r="L35" s="22">
        <f t="shared" si="2"/>
        <v>420</v>
      </c>
      <c r="M35" s="22">
        <f t="shared" si="3"/>
        <v>769</v>
      </c>
    </row>
    <row r="36" spans="1:13" x14ac:dyDescent="0.35">
      <c r="A36" s="17" t="s">
        <v>189</v>
      </c>
      <c r="B36" s="13" t="s">
        <v>73</v>
      </c>
      <c r="C36" s="14">
        <v>44541</v>
      </c>
      <c r="D36" s="14" t="s">
        <v>151</v>
      </c>
      <c r="E36" s="14" t="s">
        <v>244</v>
      </c>
      <c r="F36" s="15" t="s">
        <v>153</v>
      </c>
      <c r="G36" s="16" t="s">
        <v>262</v>
      </c>
      <c r="H36" s="17">
        <v>1</v>
      </c>
      <c r="I36" s="18">
        <v>1266</v>
      </c>
      <c r="J36" s="18">
        <v>2320</v>
      </c>
      <c r="K36" s="18">
        <v>1054</v>
      </c>
      <c r="L36" s="18">
        <f t="shared" si="2"/>
        <v>1266</v>
      </c>
      <c r="M36" s="18">
        <f t="shared" si="3"/>
        <v>2320</v>
      </c>
    </row>
    <row r="37" spans="1:13" x14ac:dyDescent="0.35">
      <c r="A37" s="21" t="s">
        <v>190</v>
      </c>
      <c r="B37" s="19" t="s">
        <v>74</v>
      </c>
      <c r="C37" s="20">
        <v>44542</v>
      </c>
      <c r="D37" s="20" t="s">
        <v>146</v>
      </c>
      <c r="E37" s="20" t="s">
        <v>248</v>
      </c>
      <c r="F37" s="15" t="s">
        <v>153</v>
      </c>
      <c r="G37" s="16" t="s">
        <v>262</v>
      </c>
      <c r="H37" s="21">
        <v>4</v>
      </c>
      <c r="I37" s="22">
        <v>1266</v>
      </c>
      <c r="J37" s="22">
        <v>2320</v>
      </c>
      <c r="K37" s="22">
        <v>4216</v>
      </c>
      <c r="L37" s="22">
        <f t="shared" si="2"/>
        <v>5064</v>
      </c>
      <c r="M37" s="22">
        <f t="shared" si="3"/>
        <v>9280</v>
      </c>
    </row>
    <row r="38" spans="1:13" x14ac:dyDescent="0.35">
      <c r="A38" s="17" t="s">
        <v>191</v>
      </c>
      <c r="B38" s="13" t="s">
        <v>75</v>
      </c>
      <c r="C38" s="14">
        <v>44542</v>
      </c>
      <c r="D38" s="14" t="s">
        <v>151</v>
      </c>
      <c r="E38" s="14" t="s">
        <v>244</v>
      </c>
      <c r="F38" s="15" t="s">
        <v>153</v>
      </c>
      <c r="G38" s="16" t="s">
        <v>262</v>
      </c>
      <c r="H38" s="17">
        <v>4</v>
      </c>
      <c r="I38" s="18">
        <v>420</v>
      </c>
      <c r="J38" s="18">
        <v>769</v>
      </c>
      <c r="K38" s="18">
        <v>1396</v>
      </c>
      <c r="L38" s="18">
        <f t="shared" si="2"/>
        <v>1680</v>
      </c>
      <c r="M38" s="18">
        <f t="shared" si="3"/>
        <v>3076</v>
      </c>
    </row>
    <row r="39" spans="1:13" x14ac:dyDescent="0.35">
      <c r="A39" s="21" t="s">
        <v>192</v>
      </c>
      <c r="B39" s="19" t="s">
        <v>76</v>
      </c>
      <c r="C39" s="20">
        <v>44542</v>
      </c>
      <c r="D39" s="20" t="s">
        <v>146</v>
      </c>
      <c r="E39" s="20" t="s">
        <v>248</v>
      </c>
      <c r="F39" s="15" t="s">
        <v>153</v>
      </c>
      <c r="G39" s="16" t="s">
        <v>262</v>
      </c>
      <c r="H39" s="21">
        <v>2</v>
      </c>
      <c r="I39" s="22">
        <v>1252</v>
      </c>
      <c r="J39" s="22">
        <v>2295</v>
      </c>
      <c r="K39" s="22">
        <v>2086</v>
      </c>
      <c r="L39" s="22">
        <f t="shared" si="2"/>
        <v>2504</v>
      </c>
      <c r="M39" s="22">
        <f t="shared" si="3"/>
        <v>4590</v>
      </c>
    </row>
    <row r="40" spans="1:13" x14ac:dyDescent="0.35">
      <c r="A40" s="17" t="s">
        <v>193</v>
      </c>
      <c r="B40" s="13" t="s">
        <v>77</v>
      </c>
      <c r="C40" s="14">
        <v>44542</v>
      </c>
      <c r="D40" s="14" t="s">
        <v>146</v>
      </c>
      <c r="E40" s="14" t="s">
        <v>258</v>
      </c>
      <c r="F40" s="15" t="s">
        <v>153</v>
      </c>
      <c r="G40" s="16" t="s">
        <v>262</v>
      </c>
      <c r="H40" s="17">
        <v>1</v>
      </c>
      <c r="I40" s="18">
        <v>1266</v>
      </c>
      <c r="J40" s="18">
        <v>2320</v>
      </c>
      <c r="K40" s="18">
        <v>1054</v>
      </c>
      <c r="L40" s="18">
        <f t="shared" si="2"/>
        <v>1266</v>
      </c>
      <c r="M40" s="18">
        <f t="shared" si="3"/>
        <v>2320</v>
      </c>
    </row>
    <row r="41" spans="1:13" x14ac:dyDescent="0.35">
      <c r="A41" s="21" t="s">
        <v>194</v>
      </c>
      <c r="B41" s="19" t="s">
        <v>78</v>
      </c>
      <c r="C41" s="20">
        <v>44542</v>
      </c>
      <c r="D41" s="20" t="s">
        <v>151</v>
      </c>
      <c r="E41" s="20" t="s">
        <v>258</v>
      </c>
      <c r="F41" s="15" t="s">
        <v>153</v>
      </c>
      <c r="G41" s="16" t="s">
        <v>262</v>
      </c>
      <c r="H41" s="21">
        <v>1</v>
      </c>
      <c r="I41" s="22">
        <v>1266</v>
      </c>
      <c r="J41" s="22">
        <v>2320</v>
      </c>
      <c r="K41" s="22">
        <v>1054</v>
      </c>
      <c r="L41" s="22">
        <f t="shared" si="2"/>
        <v>1266</v>
      </c>
      <c r="M41" s="22">
        <f t="shared" si="3"/>
        <v>2320</v>
      </c>
    </row>
    <row r="42" spans="1:13" x14ac:dyDescent="0.35">
      <c r="A42" s="17" t="s">
        <v>195</v>
      </c>
      <c r="B42" s="13" t="s">
        <v>79</v>
      </c>
      <c r="C42" s="14">
        <v>44543</v>
      </c>
      <c r="D42" s="14" t="s">
        <v>146</v>
      </c>
      <c r="E42" s="14" t="s">
        <v>252</v>
      </c>
      <c r="F42" s="15" t="s">
        <v>153</v>
      </c>
      <c r="G42" s="16" t="s">
        <v>262</v>
      </c>
      <c r="H42" s="17">
        <v>3</v>
      </c>
      <c r="I42" s="18">
        <v>1266</v>
      </c>
      <c r="J42" s="18">
        <v>2320</v>
      </c>
      <c r="K42" s="18">
        <v>3162</v>
      </c>
      <c r="L42" s="18">
        <f t="shared" si="2"/>
        <v>3798</v>
      </c>
      <c r="M42" s="18">
        <f t="shared" si="3"/>
        <v>6960</v>
      </c>
    </row>
    <row r="43" spans="1:13" x14ac:dyDescent="0.35">
      <c r="A43" s="21" t="s">
        <v>196</v>
      </c>
      <c r="B43" s="19" t="s">
        <v>80</v>
      </c>
      <c r="C43" s="20">
        <v>44543</v>
      </c>
      <c r="D43" s="20" t="s">
        <v>151</v>
      </c>
      <c r="E43" s="20" t="s">
        <v>244</v>
      </c>
      <c r="F43" s="15" t="s">
        <v>153</v>
      </c>
      <c r="G43" s="16" t="s">
        <v>262</v>
      </c>
      <c r="H43" s="21">
        <v>1</v>
      </c>
      <c r="I43" s="22">
        <v>308</v>
      </c>
      <c r="J43" s="22">
        <v>565</v>
      </c>
      <c r="K43" s="22">
        <v>257</v>
      </c>
      <c r="L43" s="22">
        <f t="shared" si="2"/>
        <v>308</v>
      </c>
      <c r="M43" s="22">
        <f t="shared" si="3"/>
        <v>565</v>
      </c>
    </row>
    <row r="44" spans="1:13" x14ac:dyDescent="0.35">
      <c r="A44" s="17" t="s">
        <v>197</v>
      </c>
      <c r="B44" s="13" t="s">
        <v>81</v>
      </c>
      <c r="C44" s="14">
        <v>44543</v>
      </c>
      <c r="D44" s="14" t="s">
        <v>150</v>
      </c>
      <c r="E44" s="14" t="s">
        <v>245</v>
      </c>
      <c r="F44" s="15" t="s">
        <v>153</v>
      </c>
      <c r="G44" s="16" t="s">
        <v>262</v>
      </c>
      <c r="H44" s="17">
        <v>1</v>
      </c>
      <c r="I44" s="18">
        <v>1252</v>
      </c>
      <c r="J44" s="18">
        <v>2295</v>
      </c>
      <c r="K44" s="18">
        <v>1043</v>
      </c>
      <c r="L44" s="18">
        <f t="shared" si="2"/>
        <v>1252</v>
      </c>
      <c r="M44" s="18">
        <f t="shared" si="3"/>
        <v>2295</v>
      </c>
    </row>
    <row r="45" spans="1:13" x14ac:dyDescent="0.35">
      <c r="A45" s="21" t="s">
        <v>198</v>
      </c>
      <c r="B45" s="19" t="s">
        <v>82</v>
      </c>
      <c r="C45" s="20">
        <v>44543</v>
      </c>
      <c r="D45" s="20" t="s">
        <v>150</v>
      </c>
      <c r="E45" s="20" t="s">
        <v>245</v>
      </c>
      <c r="F45" s="15" t="s">
        <v>153</v>
      </c>
      <c r="G45" s="16" t="s">
        <v>262</v>
      </c>
      <c r="H45" s="21">
        <v>1</v>
      </c>
      <c r="I45" s="22">
        <v>1252</v>
      </c>
      <c r="J45" s="22">
        <v>2295</v>
      </c>
      <c r="K45" s="22">
        <v>1043</v>
      </c>
      <c r="L45" s="22">
        <f t="shared" si="2"/>
        <v>1252</v>
      </c>
      <c r="M45" s="22">
        <f t="shared" si="3"/>
        <v>2295</v>
      </c>
    </row>
    <row r="46" spans="1:13" x14ac:dyDescent="0.35">
      <c r="A46" s="17" t="s">
        <v>199</v>
      </c>
      <c r="B46" s="13" t="s">
        <v>83</v>
      </c>
      <c r="C46" s="14">
        <v>44544</v>
      </c>
      <c r="D46" s="14" t="s">
        <v>151</v>
      </c>
      <c r="E46" s="14" t="s">
        <v>258</v>
      </c>
      <c r="F46" s="15" t="s">
        <v>153</v>
      </c>
      <c r="G46" s="16" t="s">
        <v>262</v>
      </c>
      <c r="H46" s="17">
        <v>2</v>
      </c>
      <c r="I46" s="18">
        <v>1266</v>
      </c>
      <c r="J46" s="18">
        <v>2320</v>
      </c>
      <c r="K46" s="18">
        <v>2108</v>
      </c>
      <c r="L46" s="18">
        <f t="shared" si="2"/>
        <v>2532</v>
      </c>
      <c r="M46" s="18">
        <f t="shared" si="3"/>
        <v>4640</v>
      </c>
    </row>
    <row r="47" spans="1:13" x14ac:dyDescent="0.35">
      <c r="A47" s="21" t="s">
        <v>200</v>
      </c>
      <c r="B47" s="19" t="s">
        <v>84</v>
      </c>
      <c r="C47" s="20">
        <v>44544</v>
      </c>
      <c r="D47" s="20" t="s">
        <v>151</v>
      </c>
      <c r="E47" s="20" t="s">
        <v>244</v>
      </c>
      <c r="F47" s="15" t="s">
        <v>153</v>
      </c>
      <c r="G47" s="16" t="s">
        <v>262</v>
      </c>
      <c r="H47" s="21">
        <v>1</v>
      </c>
      <c r="I47" s="22">
        <v>1252</v>
      </c>
      <c r="J47" s="22">
        <v>2295</v>
      </c>
      <c r="K47" s="22">
        <v>1043</v>
      </c>
      <c r="L47" s="22">
        <f t="shared" si="2"/>
        <v>1252</v>
      </c>
      <c r="M47" s="22">
        <f t="shared" si="3"/>
        <v>2295</v>
      </c>
    </row>
    <row r="48" spans="1:13" x14ac:dyDescent="0.35">
      <c r="A48" s="17" t="s">
        <v>201</v>
      </c>
      <c r="B48" s="13" t="s">
        <v>85</v>
      </c>
      <c r="C48" s="14">
        <v>44544</v>
      </c>
      <c r="D48" s="14" t="s">
        <v>146</v>
      </c>
      <c r="E48" s="14" t="s">
        <v>258</v>
      </c>
      <c r="F48" s="15" t="s">
        <v>153</v>
      </c>
      <c r="G48" s="16" t="s">
        <v>262</v>
      </c>
      <c r="H48" s="17">
        <v>1</v>
      </c>
      <c r="I48" s="18">
        <v>420</v>
      </c>
      <c r="J48" s="18">
        <v>769</v>
      </c>
      <c r="K48" s="18">
        <v>349</v>
      </c>
      <c r="L48" s="18">
        <f t="shared" si="2"/>
        <v>420</v>
      </c>
      <c r="M48" s="18">
        <f t="shared" si="3"/>
        <v>769</v>
      </c>
    </row>
    <row r="49" spans="1:13" x14ac:dyDescent="0.35">
      <c r="A49" s="21" t="s">
        <v>202</v>
      </c>
      <c r="B49" s="19" t="s">
        <v>86</v>
      </c>
      <c r="C49" s="20">
        <v>44545</v>
      </c>
      <c r="D49" s="20" t="s">
        <v>151</v>
      </c>
      <c r="E49" s="20" t="s">
        <v>244</v>
      </c>
      <c r="F49" s="15" t="s">
        <v>153</v>
      </c>
      <c r="G49" s="16" t="s">
        <v>262</v>
      </c>
      <c r="H49" s="21">
        <v>1</v>
      </c>
      <c r="I49" s="22">
        <v>1266</v>
      </c>
      <c r="J49" s="22">
        <v>2320</v>
      </c>
      <c r="K49" s="22">
        <v>1054</v>
      </c>
      <c r="L49" s="22">
        <f t="shared" si="2"/>
        <v>1266</v>
      </c>
      <c r="M49" s="22">
        <f t="shared" si="3"/>
        <v>2320</v>
      </c>
    </row>
    <row r="50" spans="1:13" x14ac:dyDescent="0.35">
      <c r="A50" s="17" t="s">
        <v>203</v>
      </c>
      <c r="B50" s="13" t="s">
        <v>87</v>
      </c>
      <c r="C50" s="14">
        <v>44546</v>
      </c>
      <c r="D50" s="14" t="s">
        <v>146</v>
      </c>
      <c r="E50" s="14" t="s">
        <v>248</v>
      </c>
      <c r="F50" s="15" t="s">
        <v>153</v>
      </c>
      <c r="G50" s="16" t="s">
        <v>262</v>
      </c>
      <c r="H50" s="17">
        <v>2</v>
      </c>
      <c r="I50" s="18">
        <v>1252</v>
      </c>
      <c r="J50" s="18">
        <v>2295</v>
      </c>
      <c r="K50" s="18">
        <v>2086</v>
      </c>
      <c r="L50" s="18">
        <f t="shared" si="2"/>
        <v>2504</v>
      </c>
      <c r="M50" s="18">
        <f t="shared" si="3"/>
        <v>4590</v>
      </c>
    </row>
    <row r="51" spans="1:13" x14ac:dyDescent="0.35">
      <c r="A51" s="21" t="s">
        <v>204</v>
      </c>
      <c r="B51" s="19" t="s">
        <v>88</v>
      </c>
      <c r="C51" s="20">
        <v>44546</v>
      </c>
      <c r="D51" s="20" t="s">
        <v>146</v>
      </c>
      <c r="E51" s="20" t="s">
        <v>248</v>
      </c>
      <c r="F51" s="15" t="s">
        <v>153</v>
      </c>
      <c r="G51" s="16" t="s">
        <v>262</v>
      </c>
      <c r="H51" s="21">
        <v>2</v>
      </c>
      <c r="I51" s="22">
        <v>1252</v>
      </c>
      <c r="J51" s="22">
        <v>2295</v>
      </c>
      <c r="K51" s="22">
        <v>2086</v>
      </c>
      <c r="L51" s="22">
        <f t="shared" si="2"/>
        <v>2504</v>
      </c>
      <c r="M51" s="22">
        <f t="shared" si="3"/>
        <v>4590</v>
      </c>
    </row>
    <row r="52" spans="1:13" x14ac:dyDescent="0.35">
      <c r="A52" s="17" t="s">
        <v>205</v>
      </c>
      <c r="B52" s="13" t="s">
        <v>89</v>
      </c>
      <c r="C52" s="14">
        <v>44546</v>
      </c>
      <c r="D52" s="14" t="s">
        <v>148</v>
      </c>
      <c r="E52" s="14" t="s">
        <v>254</v>
      </c>
      <c r="F52" s="15" t="s">
        <v>153</v>
      </c>
      <c r="G52" s="16" t="s">
        <v>262</v>
      </c>
      <c r="H52" s="17">
        <v>1</v>
      </c>
      <c r="I52" s="18">
        <v>1266</v>
      </c>
      <c r="J52" s="18">
        <v>2320</v>
      </c>
      <c r="K52" s="18">
        <v>1054</v>
      </c>
      <c r="L52" s="18">
        <f t="shared" si="2"/>
        <v>1266</v>
      </c>
      <c r="M52" s="18">
        <f t="shared" si="3"/>
        <v>2320</v>
      </c>
    </row>
    <row r="53" spans="1:13" x14ac:dyDescent="0.35">
      <c r="A53" s="21" t="s">
        <v>206</v>
      </c>
      <c r="B53" s="19" t="s">
        <v>91</v>
      </c>
      <c r="C53" s="20">
        <v>44547</v>
      </c>
      <c r="D53" s="20" t="s">
        <v>151</v>
      </c>
      <c r="E53" s="20" t="s">
        <v>258</v>
      </c>
      <c r="F53" s="15" t="s">
        <v>153</v>
      </c>
      <c r="G53" s="16" t="s">
        <v>262</v>
      </c>
      <c r="H53" s="21">
        <v>2</v>
      </c>
      <c r="I53" s="22">
        <v>1266</v>
      </c>
      <c r="J53" s="22">
        <v>2320</v>
      </c>
      <c r="K53" s="22">
        <v>2108</v>
      </c>
      <c r="L53" s="22">
        <f t="shared" si="2"/>
        <v>2532</v>
      </c>
      <c r="M53" s="22">
        <f t="shared" si="3"/>
        <v>4640</v>
      </c>
    </row>
    <row r="54" spans="1:13" x14ac:dyDescent="0.35">
      <c r="A54" s="17" t="s">
        <v>207</v>
      </c>
      <c r="B54" s="13" t="s">
        <v>92</v>
      </c>
      <c r="C54" s="14">
        <v>44547</v>
      </c>
      <c r="D54" s="14" t="s">
        <v>146</v>
      </c>
      <c r="E54" s="14" t="s">
        <v>248</v>
      </c>
      <c r="F54" s="15" t="s">
        <v>153</v>
      </c>
      <c r="G54" s="16" t="s">
        <v>262</v>
      </c>
      <c r="H54" s="17">
        <v>1</v>
      </c>
      <c r="I54" s="18">
        <v>420</v>
      </c>
      <c r="J54" s="18">
        <v>769</v>
      </c>
      <c r="K54" s="18">
        <v>349</v>
      </c>
      <c r="L54" s="18">
        <f t="shared" si="2"/>
        <v>420</v>
      </c>
      <c r="M54" s="18">
        <f t="shared" si="3"/>
        <v>769</v>
      </c>
    </row>
    <row r="55" spans="1:13" x14ac:dyDescent="0.35">
      <c r="A55" s="21" t="s">
        <v>208</v>
      </c>
      <c r="B55" s="19" t="s">
        <v>93</v>
      </c>
      <c r="C55" s="20">
        <v>44547</v>
      </c>
      <c r="D55" s="20" t="s">
        <v>149</v>
      </c>
      <c r="E55" s="20" t="s">
        <v>250</v>
      </c>
      <c r="F55" s="15" t="s">
        <v>153</v>
      </c>
      <c r="G55" s="16" t="s">
        <v>262</v>
      </c>
      <c r="H55" s="21">
        <v>1</v>
      </c>
      <c r="I55" s="22">
        <v>1266</v>
      </c>
      <c r="J55" s="22">
        <v>2320</v>
      </c>
      <c r="K55" s="22">
        <v>1054</v>
      </c>
      <c r="L55" s="22">
        <f t="shared" si="2"/>
        <v>1266</v>
      </c>
      <c r="M55" s="22">
        <f t="shared" si="3"/>
        <v>2320</v>
      </c>
    </row>
    <row r="56" spans="1:13" x14ac:dyDescent="0.35">
      <c r="A56" s="17" t="s">
        <v>209</v>
      </c>
      <c r="B56" s="13" t="s">
        <v>94</v>
      </c>
      <c r="C56" s="14">
        <v>44548</v>
      </c>
      <c r="D56" s="14" t="s">
        <v>146</v>
      </c>
      <c r="E56" s="14" t="s">
        <v>248</v>
      </c>
      <c r="F56" s="15" t="s">
        <v>153</v>
      </c>
      <c r="G56" s="16" t="s">
        <v>262</v>
      </c>
      <c r="H56" s="17">
        <v>4</v>
      </c>
      <c r="I56" s="18">
        <v>308</v>
      </c>
      <c r="J56" s="18">
        <v>565</v>
      </c>
      <c r="K56" s="18">
        <v>1028</v>
      </c>
      <c r="L56" s="18">
        <f t="shared" si="2"/>
        <v>1232</v>
      </c>
      <c r="M56" s="18">
        <f t="shared" si="3"/>
        <v>2260</v>
      </c>
    </row>
    <row r="57" spans="1:13" x14ac:dyDescent="0.35">
      <c r="A57" s="21" t="s">
        <v>210</v>
      </c>
      <c r="B57" s="19" t="s">
        <v>95</v>
      </c>
      <c r="C57" s="20">
        <v>44548</v>
      </c>
      <c r="D57" s="20" t="s">
        <v>149</v>
      </c>
      <c r="E57" s="20" t="s">
        <v>250</v>
      </c>
      <c r="F57" s="15" t="s">
        <v>153</v>
      </c>
      <c r="G57" s="16" t="s">
        <v>262</v>
      </c>
      <c r="H57" s="21">
        <v>4</v>
      </c>
      <c r="I57" s="22">
        <v>1266</v>
      </c>
      <c r="J57" s="22">
        <v>2320</v>
      </c>
      <c r="K57" s="22">
        <v>4216</v>
      </c>
      <c r="L57" s="22">
        <f t="shared" si="2"/>
        <v>5064</v>
      </c>
      <c r="M57" s="22">
        <f t="shared" si="3"/>
        <v>9280</v>
      </c>
    </row>
    <row r="58" spans="1:13" x14ac:dyDescent="0.35">
      <c r="A58" s="17" t="s">
        <v>211</v>
      </c>
      <c r="B58" s="13" t="s">
        <v>96</v>
      </c>
      <c r="C58" s="14">
        <v>44548</v>
      </c>
      <c r="D58" s="14" t="s">
        <v>148</v>
      </c>
      <c r="E58" s="14" t="s">
        <v>255</v>
      </c>
      <c r="F58" s="15" t="s">
        <v>153</v>
      </c>
      <c r="G58" s="16" t="s">
        <v>262</v>
      </c>
      <c r="H58" s="17">
        <v>3</v>
      </c>
      <c r="I58" s="18">
        <v>1266</v>
      </c>
      <c r="J58" s="18">
        <v>2320</v>
      </c>
      <c r="K58" s="18">
        <v>3162</v>
      </c>
      <c r="L58" s="18">
        <f t="shared" si="2"/>
        <v>3798</v>
      </c>
      <c r="M58" s="18">
        <f t="shared" si="3"/>
        <v>6960</v>
      </c>
    </row>
    <row r="59" spans="1:13" x14ac:dyDescent="0.35">
      <c r="A59" s="21" t="s">
        <v>212</v>
      </c>
      <c r="B59" s="19" t="s">
        <v>98</v>
      </c>
      <c r="C59" s="20">
        <v>44548</v>
      </c>
      <c r="D59" s="20" t="s">
        <v>150</v>
      </c>
      <c r="E59" s="20" t="s">
        <v>245</v>
      </c>
      <c r="F59" s="15" t="s">
        <v>153</v>
      </c>
      <c r="G59" s="16" t="s">
        <v>262</v>
      </c>
      <c r="H59" s="21">
        <v>3</v>
      </c>
      <c r="I59" s="22">
        <v>420</v>
      </c>
      <c r="J59" s="22">
        <v>769</v>
      </c>
      <c r="K59" s="22">
        <v>1047</v>
      </c>
      <c r="L59" s="22">
        <f t="shared" si="2"/>
        <v>1260</v>
      </c>
      <c r="M59" s="22">
        <f t="shared" si="3"/>
        <v>2307</v>
      </c>
    </row>
    <row r="60" spans="1:13" x14ac:dyDescent="0.35">
      <c r="A60" s="17" t="s">
        <v>213</v>
      </c>
      <c r="B60" s="13" t="s">
        <v>99</v>
      </c>
      <c r="C60" s="14">
        <v>44548</v>
      </c>
      <c r="D60" s="14" t="s">
        <v>151</v>
      </c>
      <c r="E60" s="14" t="s">
        <v>244</v>
      </c>
      <c r="F60" s="15" t="s">
        <v>153</v>
      </c>
      <c r="G60" s="16" t="s">
        <v>262</v>
      </c>
      <c r="H60" s="17">
        <v>3</v>
      </c>
      <c r="I60" s="18">
        <v>1252</v>
      </c>
      <c r="J60" s="18">
        <v>2295</v>
      </c>
      <c r="K60" s="18">
        <v>3129</v>
      </c>
      <c r="L60" s="18">
        <f t="shared" si="2"/>
        <v>3756</v>
      </c>
      <c r="M60" s="18">
        <f t="shared" si="3"/>
        <v>6885</v>
      </c>
    </row>
    <row r="61" spans="1:13" x14ac:dyDescent="0.35">
      <c r="A61" s="21" t="s">
        <v>214</v>
      </c>
      <c r="B61" s="19" t="s">
        <v>100</v>
      </c>
      <c r="C61" s="20">
        <v>44548</v>
      </c>
      <c r="D61" s="20" t="s">
        <v>148</v>
      </c>
      <c r="E61" s="20" t="s">
        <v>253</v>
      </c>
      <c r="F61" s="15" t="s">
        <v>153</v>
      </c>
      <c r="G61" s="16" t="s">
        <v>262</v>
      </c>
      <c r="H61" s="21">
        <v>1</v>
      </c>
      <c r="I61" s="22">
        <v>1252</v>
      </c>
      <c r="J61" s="22">
        <v>2295</v>
      </c>
      <c r="K61" s="22">
        <v>1043</v>
      </c>
      <c r="L61" s="22">
        <f t="shared" si="2"/>
        <v>1252</v>
      </c>
      <c r="M61" s="22">
        <f t="shared" si="3"/>
        <v>2295</v>
      </c>
    </row>
    <row r="62" spans="1:13" x14ac:dyDescent="0.35">
      <c r="A62" s="17" t="s">
        <v>215</v>
      </c>
      <c r="B62" s="13" t="s">
        <v>101</v>
      </c>
      <c r="C62" s="14">
        <v>44548</v>
      </c>
      <c r="D62" s="14" t="s">
        <v>151</v>
      </c>
      <c r="E62" s="14" t="s">
        <v>258</v>
      </c>
      <c r="F62" s="15" t="s">
        <v>153</v>
      </c>
      <c r="G62" s="16" t="s">
        <v>262</v>
      </c>
      <c r="H62" s="17">
        <v>1</v>
      </c>
      <c r="I62" s="18">
        <v>1266</v>
      </c>
      <c r="J62" s="18">
        <v>2320</v>
      </c>
      <c r="K62" s="18">
        <v>1054</v>
      </c>
      <c r="L62" s="18">
        <f t="shared" si="2"/>
        <v>1266</v>
      </c>
      <c r="M62" s="18">
        <f t="shared" si="3"/>
        <v>2320</v>
      </c>
    </row>
    <row r="63" spans="1:13" x14ac:dyDescent="0.35">
      <c r="A63" s="21" t="s">
        <v>216</v>
      </c>
      <c r="B63" s="19" t="s">
        <v>102</v>
      </c>
      <c r="C63" s="20">
        <v>44549</v>
      </c>
      <c r="D63" s="20" t="s">
        <v>148</v>
      </c>
      <c r="E63" s="20" t="s">
        <v>249</v>
      </c>
      <c r="F63" s="15" t="s">
        <v>153</v>
      </c>
      <c r="G63" s="16" t="s">
        <v>262</v>
      </c>
      <c r="H63" s="21">
        <v>4</v>
      </c>
      <c r="I63" s="22">
        <v>1266</v>
      </c>
      <c r="J63" s="22">
        <v>2320</v>
      </c>
      <c r="K63" s="22">
        <v>4216</v>
      </c>
      <c r="L63" s="22">
        <f t="shared" si="2"/>
        <v>5064</v>
      </c>
      <c r="M63" s="22">
        <f t="shared" si="3"/>
        <v>9280</v>
      </c>
    </row>
    <row r="64" spans="1:13" x14ac:dyDescent="0.35">
      <c r="A64" s="17" t="s">
        <v>217</v>
      </c>
      <c r="B64" s="13" t="s">
        <v>104</v>
      </c>
      <c r="C64" s="14">
        <v>44549</v>
      </c>
      <c r="D64" s="14" t="s">
        <v>146</v>
      </c>
      <c r="E64" s="14" t="s">
        <v>258</v>
      </c>
      <c r="F64" s="15" t="s">
        <v>153</v>
      </c>
      <c r="G64" s="16" t="s">
        <v>262</v>
      </c>
      <c r="H64" s="17">
        <v>4</v>
      </c>
      <c r="I64" s="18">
        <v>295</v>
      </c>
      <c r="J64" s="18">
        <v>540</v>
      </c>
      <c r="K64" s="18">
        <v>980</v>
      </c>
      <c r="L64" s="18">
        <f t="shared" si="2"/>
        <v>1180</v>
      </c>
      <c r="M64" s="18">
        <f t="shared" si="3"/>
        <v>2160</v>
      </c>
    </row>
    <row r="65" spans="1:13" x14ac:dyDescent="0.35">
      <c r="A65" s="21" t="s">
        <v>218</v>
      </c>
      <c r="B65" s="19" t="s">
        <v>105</v>
      </c>
      <c r="C65" s="20">
        <v>44549</v>
      </c>
      <c r="D65" s="20" t="s">
        <v>148</v>
      </c>
      <c r="E65" s="20" t="s">
        <v>253</v>
      </c>
      <c r="F65" s="15" t="s">
        <v>153</v>
      </c>
      <c r="G65" s="16" t="s">
        <v>262</v>
      </c>
      <c r="H65" s="21">
        <v>4</v>
      </c>
      <c r="I65" s="22">
        <v>1252</v>
      </c>
      <c r="J65" s="22">
        <v>2295</v>
      </c>
      <c r="K65" s="22">
        <v>4172</v>
      </c>
      <c r="L65" s="22">
        <f t="shared" si="2"/>
        <v>5008</v>
      </c>
      <c r="M65" s="22">
        <f t="shared" si="3"/>
        <v>9180</v>
      </c>
    </row>
    <row r="66" spans="1:13" x14ac:dyDescent="0.35">
      <c r="A66" s="17" t="s">
        <v>219</v>
      </c>
      <c r="B66" s="13" t="s">
        <v>106</v>
      </c>
      <c r="C66" s="14">
        <v>44549</v>
      </c>
      <c r="D66" s="14" t="s">
        <v>151</v>
      </c>
      <c r="E66" s="14" t="s">
        <v>251</v>
      </c>
      <c r="F66" s="15" t="s">
        <v>153</v>
      </c>
      <c r="G66" s="16" t="s">
        <v>262</v>
      </c>
      <c r="H66" s="17">
        <v>4</v>
      </c>
      <c r="I66" s="18">
        <v>1898</v>
      </c>
      <c r="J66" s="18">
        <v>3375</v>
      </c>
      <c r="K66" s="18">
        <v>5908</v>
      </c>
      <c r="L66" s="18">
        <f t="shared" ref="L66:L89" si="4">H66*I66</f>
        <v>7592</v>
      </c>
      <c r="M66" s="18">
        <f t="shared" ref="M66:M89" si="5">H66*J66</f>
        <v>13500</v>
      </c>
    </row>
    <row r="67" spans="1:13" x14ac:dyDescent="0.35">
      <c r="A67" s="21" t="s">
        <v>220</v>
      </c>
      <c r="B67" s="19" t="s">
        <v>107</v>
      </c>
      <c r="C67" s="20">
        <v>44549</v>
      </c>
      <c r="D67" s="20" t="s">
        <v>151</v>
      </c>
      <c r="E67" s="20" t="s">
        <v>251</v>
      </c>
      <c r="F67" s="15" t="s">
        <v>153</v>
      </c>
      <c r="G67" s="16" t="s">
        <v>262</v>
      </c>
      <c r="H67" s="21">
        <v>4</v>
      </c>
      <c r="I67" s="22">
        <v>1252</v>
      </c>
      <c r="J67" s="22">
        <v>2295</v>
      </c>
      <c r="K67" s="22">
        <v>4172</v>
      </c>
      <c r="L67" s="22">
        <f t="shared" si="4"/>
        <v>5008</v>
      </c>
      <c r="M67" s="22">
        <f t="shared" si="5"/>
        <v>9180</v>
      </c>
    </row>
    <row r="68" spans="1:13" x14ac:dyDescent="0.35">
      <c r="A68" s="17" t="s">
        <v>221</v>
      </c>
      <c r="B68" s="13" t="s">
        <v>108</v>
      </c>
      <c r="C68" s="14">
        <v>44549</v>
      </c>
      <c r="D68" s="14" t="s">
        <v>151</v>
      </c>
      <c r="E68" s="14" t="s">
        <v>244</v>
      </c>
      <c r="F68" s="15" t="s">
        <v>153</v>
      </c>
      <c r="G68" s="16" t="s">
        <v>262</v>
      </c>
      <c r="H68" s="17">
        <v>4</v>
      </c>
      <c r="I68" s="18">
        <v>1252</v>
      </c>
      <c r="J68" s="18">
        <v>2295</v>
      </c>
      <c r="K68" s="18">
        <v>4172</v>
      </c>
      <c r="L68" s="18">
        <f t="shared" si="4"/>
        <v>5008</v>
      </c>
      <c r="M68" s="18">
        <f t="shared" si="5"/>
        <v>9180</v>
      </c>
    </row>
    <row r="69" spans="1:13" x14ac:dyDescent="0.35">
      <c r="A69" s="21" t="s">
        <v>222</v>
      </c>
      <c r="B69" s="19" t="s">
        <v>109</v>
      </c>
      <c r="C69" s="20">
        <v>44549</v>
      </c>
      <c r="D69" s="20" t="s">
        <v>146</v>
      </c>
      <c r="E69" s="20" t="s">
        <v>252</v>
      </c>
      <c r="F69" s="15" t="s">
        <v>153</v>
      </c>
      <c r="G69" s="16" t="s">
        <v>262</v>
      </c>
      <c r="H69" s="21">
        <v>4</v>
      </c>
      <c r="I69" s="22">
        <v>1252</v>
      </c>
      <c r="J69" s="22">
        <v>2295</v>
      </c>
      <c r="K69" s="22">
        <v>4172</v>
      </c>
      <c r="L69" s="22">
        <f t="shared" si="4"/>
        <v>5008</v>
      </c>
      <c r="M69" s="22">
        <f t="shared" si="5"/>
        <v>9180</v>
      </c>
    </row>
    <row r="70" spans="1:13" x14ac:dyDescent="0.35">
      <c r="A70" s="17" t="s">
        <v>223</v>
      </c>
      <c r="B70" s="13" t="s">
        <v>110</v>
      </c>
      <c r="C70" s="14">
        <v>44549</v>
      </c>
      <c r="D70" s="14" t="s">
        <v>146</v>
      </c>
      <c r="E70" s="14" t="s">
        <v>257</v>
      </c>
      <c r="F70" s="15" t="s">
        <v>153</v>
      </c>
      <c r="G70" s="16" t="s">
        <v>262</v>
      </c>
      <c r="H70" s="17">
        <v>2</v>
      </c>
      <c r="I70" s="18">
        <v>295</v>
      </c>
      <c r="J70" s="18">
        <v>540</v>
      </c>
      <c r="K70" s="18">
        <v>490</v>
      </c>
      <c r="L70" s="18">
        <f t="shared" si="4"/>
        <v>590</v>
      </c>
      <c r="M70" s="18">
        <f t="shared" si="5"/>
        <v>1080</v>
      </c>
    </row>
    <row r="71" spans="1:13" x14ac:dyDescent="0.35">
      <c r="A71" s="21" t="s">
        <v>224</v>
      </c>
      <c r="B71" s="19" t="s">
        <v>112</v>
      </c>
      <c r="C71" s="20">
        <v>44549</v>
      </c>
      <c r="D71" s="20" t="s">
        <v>149</v>
      </c>
      <c r="E71" s="20" t="s">
        <v>247</v>
      </c>
      <c r="F71" s="15" t="s">
        <v>153</v>
      </c>
      <c r="G71" s="16" t="s">
        <v>262</v>
      </c>
      <c r="H71" s="21">
        <v>2</v>
      </c>
      <c r="I71" s="22">
        <v>1252</v>
      </c>
      <c r="J71" s="22">
        <v>2295</v>
      </c>
      <c r="K71" s="22">
        <v>2086</v>
      </c>
      <c r="L71" s="22">
        <f t="shared" si="4"/>
        <v>2504</v>
      </c>
      <c r="M71" s="22">
        <f t="shared" si="5"/>
        <v>4590</v>
      </c>
    </row>
    <row r="72" spans="1:13" x14ac:dyDescent="0.35">
      <c r="A72" s="17" t="s">
        <v>225</v>
      </c>
      <c r="B72" s="13" t="s">
        <v>114</v>
      </c>
      <c r="C72" s="14">
        <v>44549</v>
      </c>
      <c r="D72" s="14" t="s">
        <v>151</v>
      </c>
      <c r="E72" s="14" t="s">
        <v>258</v>
      </c>
      <c r="F72" s="15" t="s">
        <v>153</v>
      </c>
      <c r="G72" s="16" t="s">
        <v>262</v>
      </c>
      <c r="H72" s="17">
        <v>1</v>
      </c>
      <c r="I72" s="18">
        <v>1266</v>
      </c>
      <c r="J72" s="18">
        <v>2320</v>
      </c>
      <c r="K72" s="18">
        <v>1054</v>
      </c>
      <c r="L72" s="18">
        <f t="shared" si="4"/>
        <v>1266</v>
      </c>
      <c r="M72" s="18">
        <f t="shared" si="5"/>
        <v>2320</v>
      </c>
    </row>
    <row r="73" spans="1:13" x14ac:dyDescent="0.35">
      <c r="A73" s="21" t="s">
        <v>226</v>
      </c>
      <c r="B73" s="19" t="s">
        <v>115</v>
      </c>
      <c r="C73" s="20">
        <v>44550</v>
      </c>
      <c r="D73" s="20" t="s">
        <v>146</v>
      </c>
      <c r="E73" s="20" t="s">
        <v>258</v>
      </c>
      <c r="F73" s="15" t="s">
        <v>153</v>
      </c>
      <c r="G73" s="16" t="s">
        <v>262</v>
      </c>
      <c r="H73" s="21">
        <v>4</v>
      </c>
      <c r="I73" s="22">
        <v>1898</v>
      </c>
      <c r="J73" s="22">
        <v>3375</v>
      </c>
      <c r="K73" s="22">
        <v>5908</v>
      </c>
      <c r="L73" s="22">
        <f t="shared" si="4"/>
        <v>7592</v>
      </c>
      <c r="M73" s="22">
        <f t="shared" si="5"/>
        <v>13500</v>
      </c>
    </row>
    <row r="74" spans="1:13" x14ac:dyDescent="0.35">
      <c r="A74" s="17" t="s">
        <v>227</v>
      </c>
      <c r="B74" s="13" t="s">
        <v>116</v>
      </c>
      <c r="C74" s="14">
        <v>44550</v>
      </c>
      <c r="D74" s="14" t="s">
        <v>146</v>
      </c>
      <c r="E74" s="14" t="s">
        <v>252</v>
      </c>
      <c r="F74" s="15" t="s">
        <v>153</v>
      </c>
      <c r="G74" s="16" t="s">
        <v>262</v>
      </c>
      <c r="H74" s="17">
        <v>4</v>
      </c>
      <c r="I74" s="18">
        <v>1252</v>
      </c>
      <c r="J74" s="18">
        <v>2295</v>
      </c>
      <c r="K74" s="18">
        <v>4172</v>
      </c>
      <c r="L74" s="18">
        <f t="shared" si="4"/>
        <v>5008</v>
      </c>
      <c r="M74" s="18">
        <f t="shared" si="5"/>
        <v>9180</v>
      </c>
    </row>
    <row r="75" spans="1:13" x14ac:dyDescent="0.35">
      <c r="A75" s="21" t="s">
        <v>228</v>
      </c>
      <c r="B75" s="19" t="s">
        <v>117</v>
      </c>
      <c r="C75" s="20">
        <v>44550</v>
      </c>
      <c r="D75" s="20" t="s">
        <v>147</v>
      </c>
      <c r="E75" s="20" t="s">
        <v>243</v>
      </c>
      <c r="F75" s="15" t="s">
        <v>153</v>
      </c>
      <c r="G75" s="16" t="s">
        <v>262</v>
      </c>
      <c r="H75" s="21">
        <v>3</v>
      </c>
      <c r="I75" s="22">
        <v>295</v>
      </c>
      <c r="J75" s="22">
        <v>540</v>
      </c>
      <c r="K75" s="22">
        <v>735</v>
      </c>
      <c r="L75" s="22">
        <f t="shared" si="4"/>
        <v>885</v>
      </c>
      <c r="M75" s="22">
        <f t="shared" si="5"/>
        <v>1620</v>
      </c>
    </row>
    <row r="76" spans="1:13" x14ac:dyDescent="0.35">
      <c r="A76" s="17" t="s">
        <v>229</v>
      </c>
      <c r="B76" s="13" t="s">
        <v>118</v>
      </c>
      <c r="C76" s="14">
        <v>44550</v>
      </c>
      <c r="D76" s="14" t="s">
        <v>146</v>
      </c>
      <c r="E76" s="14" t="s">
        <v>252</v>
      </c>
      <c r="F76" s="15" t="s">
        <v>153</v>
      </c>
      <c r="G76" s="16" t="s">
        <v>262</v>
      </c>
      <c r="H76" s="17">
        <v>1</v>
      </c>
      <c r="I76" s="18">
        <v>1266</v>
      </c>
      <c r="J76" s="18">
        <v>2320</v>
      </c>
      <c r="K76" s="18">
        <v>1054</v>
      </c>
      <c r="L76" s="18">
        <f t="shared" si="4"/>
        <v>1266</v>
      </c>
      <c r="M76" s="18">
        <f t="shared" si="5"/>
        <v>2320</v>
      </c>
    </row>
    <row r="77" spans="1:13" x14ac:dyDescent="0.35">
      <c r="A77" s="21" t="s">
        <v>230</v>
      </c>
      <c r="B77" s="19" t="s">
        <v>119</v>
      </c>
      <c r="C77" s="20">
        <v>44550</v>
      </c>
      <c r="D77" s="20" t="s">
        <v>146</v>
      </c>
      <c r="E77" s="20" t="s">
        <v>258</v>
      </c>
      <c r="F77" s="15" t="s">
        <v>153</v>
      </c>
      <c r="G77" s="16" t="s">
        <v>262</v>
      </c>
      <c r="H77" s="21">
        <v>1</v>
      </c>
      <c r="I77" s="22">
        <v>1266</v>
      </c>
      <c r="J77" s="22">
        <v>2320</v>
      </c>
      <c r="K77" s="22">
        <v>1054</v>
      </c>
      <c r="L77" s="22">
        <f t="shared" si="4"/>
        <v>1266</v>
      </c>
      <c r="M77" s="22">
        <f t="shared" si="5"/>
        <v>2320</v>
      </c>
    </row>
    <row r="78" spans="1:13" x14ac:dyDescent="0.35">
      <c r="A78" s="17" t="s">
        <v>231</v>
      </c>
      <c r="B78" s="13" t="s">
        <v>120</v>
      </c>
      <c r="C78" s="14">
        <v>44551</v>
      </c>
      <c r="D78" s="14" t="s">
        <v>148</v>
      </c>
      <c r="E78" s="14" t="s">
        <v>256</v>
      </c>
      <c r="F78" s="15" t="s">
        <v>153</v>
      </c>
      <c r="G78" s="16" t="s">
        <v>262</v>
      </c>
      <c r="H78" s="17">
        <v>3</v>
      </c>
      <c r="I78" s="18">
        <v>1266</v>
      </c>
      <c r="J78" s="18">
        <v>2320</v>
      </c>
      <c r="K78" s="18">
        <v>3162</v>
      </c>
      <c r="L78" s="18">
        <f t="shared" si="4"/>
        <v>3798</v>
      </c>
      <c r="M78" s="18">
        <f t="shared" si="5"/>
        <v>6960</v>
      </c>
    </row>
    <row r="79" spans="1:13" x14ac:dyDescent="0.35">
      <c r="A79" s="21" t="s">
        <v>232</v>
      </c>
      <c r="B79" s="19" t="s">
        <v>122</v>
      </c>
      <c r="C79" s="20">
        <v>44551</v>
      </c>
      <c r="D79" s="20" t="s">
        <v>150</v>
      </c>
      <c r="E79" s="20" t="s">
        <v>245</v>
      </c>
      <c r="F79" s="15" t="s">
        <v>153</v>
      </c>
      <c r="G79" s="16" t="s">
        <v>262</v>
      </c>
      <c r="H79" s="21">
        <v>2</v>
      </c>
      <c r="I79" s="22">
        <v>420</v>
      </c>
      <c r="J79" s="22">
        <v>769</v>
      </c>
      <c r="K79" s="22">
        <v>698</v>
      </c>
      <c r="L79" s="22">
        <f t="shared" si="4"/>
        <v>840</v>
      </c>
      <c r="M79" s="22">
        <f t="shared" si="5"/>
        <v>1538</v>
      </c>
    </row>
    <row r="80" spans="1:13" x14ac:dyDescent="0.35">
      <c r="A80" s="17" t="s">
        <v>233</v>
      </c>
      <c r="B80" s="13" t="s">
        <v>123</v>
      </c>
      <c r="C80" s="14">
        <v>44552</v>
      </c>
      <c r="D80" s="14" t="s">
        <v>151</v>
      </c>
      <c r="E80" s="14" t="s">
        <v>258</v>
      </c>
      <c r="F80" s="15" t="s">
        <v>153</v>
      </c>
      <c r="G80" s="16" t="s">
        <v>262</v>
      </c>
      <c r="H80" s="17">
        <v>3</v>
      </c>
      <c r="I80" s="18">
        <v>1266</v>
      </c>
      <c r="J80" s="18">
        <v>2320</v>
      </c>
      <c r="K80" s="18">
        <v>3162</v>
      </c>
      <c r="L80" s="18">
        <f t="shared" si="4"/>
        <v>3798</v>
      </c>
      <c r="M80" s="18">
        <f t="shared" si="5"/>
        <v>6960</v>
      </c>
    </row>
    <row r="81" spans="1:13" x14ac:dyDescent="0.35">
      <c r="A81" s="21" t="s">
        <v>234</v>
      </c>
      <c r="B81" s="19" t="s">
        <v>124</v>
      </c>
      <c r="C81" s="20">
        <v>44552</v>
      </c>
      <c r="D81" s="20" t="s">
        <v>151</v>
      </c>
      <c r="E81" s="20" t="s">
        <v>244</v>
      </c>
      <c r="F81" s="15" t="s">
        <v>153</v>
      </c>
      <c r="G81" s="16" t="s">
        <v>262</v>
      </c>
      <c r="H81" s="21">
        <v>3</v>
      </c>
      <c r="I81" s="22">
        <v>1252</v>
      </c>
      <c r="J81" s="22">
        <v>2295</v>
      </c>
      <c r="K81" s="22">
        <v>3129</v>
      </c>
      <c r="L81" s="22">
        <f t="shared" si="4"/>
        <v>3756</v>
      </c>
      <c r="M81" s="22">
        <f t="shared" si="5"/>
        <v>6885</v>
      </c>
    </row>
    <row r="82" spans="1:13" x14ac:dyDescent="0.35">
      <c r="A82" s="17" t="s">
        <v>235</v>
      </c>
      <c r="B82" s="13" t="s">
        <v>125</v>
      </c>
      <c r="C82" s="14">
        <v>44552</v>
      </c>
      <c r="D82" s="14" t="s">
        <v>146</v>
      </c>
      <c r="E82" s="14" t="s">
        <v>248</v>
      </c>
      <c r="F82" s="15" t="s">
        <v>153</v>
      </c>
      <c r="G82" s="16" t="s">
        <v>262</v>
      </c>
      <c r="H82" s="17">
        <v>1</v>
      </c>
      <c r="I82" s="18">
        <v>308</v>
      </c>
      <c r="J82" s="18">
        <v>565</v>
      </c>
      <c r="K82" s="18">
        <v>257</v>
      </c>
      <c r="L82" s="18">
        <f t="shared" si="4"/>
        <v>308</v>
      </c>
      <c r="M82" s="18">
        <f t="shared" si="5"/>
        <v>565</v>
      </c>
    </row>
    <row r="83" spans="1:13" x14ac:dyDescent="0.35">
      <c r="A83" s="21" t="s">
        <v>236</v>
      </c>
      <c r="B83" s="19" t="s">
        <v>126</v>
      </c>
      <c r="C83" s="20">
        <v>44552</v>
      </c>
      <c r="D83" s="20" t="s">
        <v>148</v>
      </c>
      <c r="E83" s="20" t="s">
        <v>253</v>
      </c>
      <c r="F83" s="15" t="s">
        <v>153</v>
      </c>
      <c r="G83" s="16" t="s">
        <v>262</v>
      </c>
      <c r="H83" s="21">
        <v>1</v>
      </c>
      <c r="I83" s="22">
        <v>1252</v>
      </c>
      <c r="J83" s="22">
        <v>2295</v>
      </c>
      <c r="K83" s="22">
        <v>1043</v>
      </c>
      <c r="L83" s="22">
        <f t="shared" si="4"/>
        <v>1252</v>
      </c>
      <c r="M83" s="22">
        <f t="shared" si="5"/>
        <v>2295</v>
      </c>
    </row>
    <row r="84" spans="1:13" x14ac:dyDescent="0.35">
      <c r="A84" s="17" t="s">
        <v>237</v>
      </c>
      <c r="B84" s="13" t="s">
        <v>127</v>
      </c>
      <c r="C84" s="14">
        <v>44552</v>
      </c>
      <c r="D84" s="14" t="s">
        <v>147</v>
      </c>
      <c r="E84" s="14" t="s">
        <v>243</v>
      </c>
      <c r="F84" s="15" t="s">
        <v>153</v>
      </c>
      <c r="G84" s="16" t="s">
        <v>262</v>
      </c>
      <c r="H84" s="17">
        <v>1</v>
      </c>
      <c r="I84" s="18">
        <v>1252</v>
      </c>
      <c r="J84" s="18">
        <v>2295</v>
      </c>
      <c r="K84" s="18">
        <v>1043</v>
      </c>
      <c r="L84" s="18">
        <f t="shared" si="4"/>
        <v>1252</v>
      </c>
      <c r="M84" s="18">
        <f t="shared" si="5"/>
        <v>2295</v>
      </c>
    </row>
    <row r="85" spans="1:13" x14ac:dyDescent="0.35">
      <c r="A85" s="21" t="s">
        <v>238</v>
      </c>
      <c r="B85" s="19" t="s">
        <v>128</v>
      </c>
      <c r="C85" s="20">
        <v>44552</v>
      </c>
      <c r="D85" s="20" t="s">
        <v>149</v>
      </c>
      <c r="E85" s="20" t="s">
        <v>247</v>
      </c>
      <c r="F85" s="15" t="s">
        <v>153</v>
      </c>
      <c r="G85" s="16" t="s">
        <v>262</v>
      </c>
      <c r="H85" s="21">
        <v>1</v>
      </c>
      <c r="I85" s="22">
        <v>1266</v>
      </c>
      <c r="J85" s="22">
        <v>2320</v>
      </c>
      <c r="K85" s="22">
        <v>1054</v>
      </c>
      <c r="L85" s="22">
        <f t="shared" si="4"/>
        <v>1266</v>
      </c>
      <c r="M85" s="22">
        <f t="shared" si="5"/>
        <v>2320</v>
      </c>
    </row>
    <row r="86" spans="1:13" x14ac:dyDescent="0.35">
      <c r="A86" s="17" t="s">
        <v>239</v>
      </c>
      <c r="B86" s="13" t="s">
        <v>129</v>
      </c>
      <c r="C86" s="14">
        <v>44553</v>
      </c>
      <c r="D86" s="14" t="s">
        <v>151</v>
      </c>
      <c r="E86" s="14" t="s">
        <v>251</v>
      </c>
      <c r="F86" s="15" t="s">
        <v>153</v>
      </c>
      <c r="G86" s="16" t="s">
        <v>262</v>
      </c>
      <c r="H86" s="17">
        <v>1</v>
      </c>
      <c r="I86" s="18">
        <v>1266</v>
      </c>
      <c r="J86" s="18">
        <v>2320</v>
      </c>
      <c r="K86" s="18">
        <v>1054</v>
      </c>
      <c r="L86" s="18">
        <f t="shared" si="4"/>
        <v>1266</v>
      </c>
      <c r="M86" s="18">
        <f t="shared" si="5"/>
        <v>2320</v>
      </c>
    </row>
    <row r="87" spans="1:13" x14ac:dyDescent="0.35">
      <c r="A87" s="21" t="s">
        <v>240</v>
      </c>
      <c r="B87" s="19" t="s">
        <v>130</v>
      </c>
      <c r="C87" s="20">
        <v>44553</v>
      </c>
      <c r="D87" s="20" t="s">
        <v>147</v>
      </c>
      <c r="E87" s="20" t="s">
        <v>243</v>
      </c>
      <c r="F87" s="15" t="s">
        <v>153</v>
      </c>
      <c r="G87" s="16" t="s">
        <v>262</v>
      </c>
      <c r="H87" s="21">
        <v>1</v>
      </c>
      <c r="I87" s="22">
        <v>1252</v>
      </c>
      <c r="J87" s="22">
        <v>2295</v>
      </c>
      <c r="K87" s="22">
        <v>1043</v>
      </c>
      <c r="L87" s="22">
        <f t="shared" si="4"/>
        <v>1252</v>
      </c>
      <c r="M87" s="22">
        <f t="shared" si="5"/>
        <v>2295</v>
      </c>
    </row>
    <row r="88" spans="1:13" x14ac:dyDescent="0.35">
      <c r="A88" s="17" t="s">
        <v>241</v>
      </c>
      <c r="B88" s="13" t="s">
        <v>131</v>
      </c>
      <c r="C88" s="14">
        <v>44553</v>
      </c>
      <c r="D88" s="14" t="s">
        <v>151</v>
      </c>
      <c r="E88" s="14" t="s">
        <v>244</v>
      </c>
      <c r="F88" s="15" t="s">
        <v>153</v>
      </c>
      <c r="G88" s="16" t="s">
        <v>262</v>
      </c>
      <c r="H88" s="17">
        <v>1</v>
      </c>
      <c r="I88" s="18">
        <v>295</v>
      </c>
      <c r="J88" s="18">
        <v>540</v>
      </c>
      <c r="K88" s="18">
        <v>245</v>
      </c>
      <c r="L88" s="18">
        <f t="shared" si="4"/>
        <v>295</v>
      </c>
      <c r="M88" s="18">
        <f t="shared" si="5"/>
        <v>540</v>
      </c>
    </row>
    <row r="89" spans="1:13" x14ac:dyDescent="0.35">
      <c r="A89" s="21" t="s">
        <v>242</v>
      </c>
      <c r="B89" s="19" t="s">
        <v>132</v>
      </c>
      <c r="C89" s="20">
        <v>44554</v>
      </c>
      <c r="D89" s="20" t="s">
        <v>146</v>
      </c>
      <c r="E89" s="20" t="s">
        <v>252</v>
      </c>
      <c r="F89" s="15" t="s">
        <v>153</v>
      </c>
      <c r="G89" s="16" t="s">
        <v>262</v>
      </c>
      <c r="H89" s="21">
        <v>4</v>
      </c>
      <c r="I89" s="22">
        <v>1252</v>
      </c>
      <c r="J89" s="22">
        <v>2295</v>
      </c>
      <c r="K89" s="22">
        <v>4172</v>
      </c>
      <c r="L89" s="22">
        <f t="shared" si="4"/>
        <v>5008</v>
      </c>
      <c r="M89" s="22">
        <f t="shared" si="5"/>
        <v>9180</v>
      </c>
    </row>
  </sheetData>
  <conditionalFormatting sqref="B1:B1048576">
    <cfRule type="duplicateValues" dxfId="14" priority="6"/>
  </conditionalFormatting>
  <conditionalFormatting sqref="I1:J89">
    <cfRule type="cellIs" dxfId="13" priority="1" operator="equal">
      <formula>0</formula>
    </cfRule>
    <cfRule type="cellIs" dxfId="12" priority="2" operator="equal">
      <formula>"$0.00 "</formula>
    </cfRule>
    <cfRule type="cellIs" dxfId="11" priority="3" operator="equal">
      <formula>"$0"</formula>
    </cfRule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E9FDBD-BC47-4190-9B4C-5B61894D409A}">
  <dimension ref="A1:D89"/>
  <sheetViews>
    <sheetView zoomScale="85" zoomScaleNormal="85" workbookViewId="0">
      <selection activeCell="A2" sqref="A2:D2"/>
    </sheetView>
  </sheetViews>
  <sheetFormatPr defaultRowHeight="14.5" x14ac:dyDescent="0.35"/>
  <cols>
    <col min="1" max="1" width="18.08984375" style="7" customWidth="1"/>
    <col min="2" max="2" width="16.81640625" style="7" customWidth="1"/>
    <col min="3" max="3" width="14.81640625" bestFit="1" customWidth="1"/>
    <col min="4" max="4" width="14.81640625" customWidth="1"/>
  </cols>
  <sheetData>
    <row r="1" spans="1:4" s="5" customFormat="1" x14ac:dyDescent="0.35">
      <c r="A1" s="6" t="s">
        <v>9</v>
      </c>
      <c r="B1" s="6" t="s">
        <v>261</v>
      </c>
      <c r="C1" s="6" t="s">
        <v>10</v>
      </c>
      <c r="D1" s="6" t="s">
        <v>263</v>
      </c>
    </row>
    <row r="2" spans="1:4" x14ac:dyDescent="0.35">
      <c r="A2" s="7" t="s">
        <v>22</v>
      </c>
      <c r="B2" s="7" t="s">
        <v>153</v>
      </c>
      <c r="C2" s="7" t="s">
        <v>23</v>
      </c>
      <c r="D2" s="7" t="s">
        <v>262</v>
      </c>
    </row>
    <row r="3" spans="1:4" x14ac:dyDescent="0.35">
      <c r="A3"/>
      <c r="B3"/>
    </row>
    <row r="4" spans="1:4" x14ac:dyDescent="0.35">
      <c r="A4"/>
      <c r="B4"/>
    </row>
    <row r="5" spans="1:4" x14ac:dyDescent="0.35">
      <c r="A5"/>
      <c r="B5"/>
    </row>
    <row r="6" spans="1:4" x14ac:dyDescent="0.35">
      <c r="A6"/>
      <c r="B6"/>
    </row>
    <row r="7" spans="1:4" x14ac:dyDescent="0.35">
      <c r="A7"/>
      <c r="B7"/>
    </row>
    <row r="8" spans="1:4" x14ac:dyDescent="0.35">
      <c r="A8"/>
      <c r="B8"/>
    </row>
    <row r="9" spans="1:4" x14ac:dyDescent="0.35">
      <c r="A9"/>
      <c r="B9"/>
    </row>
    <row r="10" spans="1:4" x14ac:dyDescent="0.35">
      <c r="A10"/>
      <c r="B10"/>
    </row>
    <row r="11" spans="1:4" x14ac:dyDescent="0.35">
      <c r="A11"/>
      <c r="B11"/>
    </row>
    <row r="12" spans="1:4" x14ac:dyDescent="0.35">
      <c r="A12"/>
      <c r="B12"/>
    </row>
    <row r="13" spans="1:4" x14ac:dyDescent="0.35">
      <c r="A13"/>
      <c r="B13"/>
    </row>
    <row r="14" spans="1:4" x14ac:dyDescent="0.35">
      <c r="A14"/>
      <c r="B14"/>
    </row>
    <row r="15" spans="1:4" x14ac:dyDescent="0.35">
      <c r="A15"/>
      <c r="B15"/>
    </row>
    <row r="16" spans="1:4" x14ac:dyDescent="0.35">
      <c r="A16"/>
      <c r="B16"/>
    </row>
    <row r="17" spans="1:2" x14ac:dyDescent="0.35">
      <c r="A17"/>
      <c r="B17"/>
    </row>
    <row r="18" spans="1:2" x14ac:dyDescent="0.35">
      <c r="A18"/>
      <c r="B18"/>
    </row>
    <row r="19" spans="1:2" x14ac:dyDescent="0.35">
      <c r="A19"/>
      <c r="B19"/>
    </row>
    <row r="20" spans="1:2" x14ac:dyDescent="0.35">
      <c r="A20"/>
      <c r="B20"/>
    </row>
    <row r="21" spans="1:2" x14ac:dyDescent="0.35">
      <c r="A21"/>
      <c r="B21"/>
    </row>
    <row r="22" spans="1:2" x14ac:dyDescent="0.35">
      <c r="A22"/>
      <c r="B22"/>
    </row>
    <row r="23" spans="1:2" x14ac:dyDescent="0.35">
      <c r="A23"/>
      <c r="B23"/>
    </row>
    <row r="24" spans="1:2" x14ac:dyDescent="0.35">
      <c r="A24"/>
      <c r="B24"/>
    </row>
    <row r="25" spans="1:2" x14ac:dyDescent="0.35">
      <c r="A25"/>
      <c r="B25"/>
    </row>
    <row r="26" spans="1:2" x14ac:dyDescent="0.35">
      <c r="A26"/>
      <c r="B26"/>
    </row>
    <row r="27" spans="1:2" x14ac:dyDescent="0.35">
      <c r="A27"/>
      <c r="B27"/>
    </row>
    <row r="28" spans="1:2" x14ac:dyDescent="0.35">
      <c r="A28"/>
      <c r="B28"/>
    </row>
    <row r="29" spans="1:2" x14ac:dyDescent="0.35">
      <c r="A29"/>
      <c r="B29"/>
    </row>
    <row r="30" spans="1:2" x14ac:dyDescent="0.35">
      <c r="A30"/>
      <c r="B30"/>
    </row>
    <row r="31" spans="1:2" x14ac:dyDescent="0.35">
      <c r="A31"/>
      <c r="B31"/>
    </row>
    <row r="32" spans="1:2" x14ac:dyDescent="0.35">
      <c r="A32"/>
      <c r="B32"/>
    </row>
    <row r="33" spans="1:2" x14ac:dyDescent="0.35">
      <c r="A33"/>
      <c r="B33"/>
    </row>
    <row r="34" spans="1:2" x14ac:dyDescent="0.35">
      <c r="A34"/>
      <c r="B34"/>
    </row>
    <row r="35" spans="1:2" x14ac:dyDescent="0.35">
      <c r="A35"/>
      <c r="B35"/>
    </row>
    <row r="36" spans="1:2" x14ac:dyDescent="0.35">
      <c r="A36"/>
      <c r="B36"/>
    </row>
    <row r="37" spans="1:2" x14ac:dyDescent="0.35">
      <c r="A37"/>
      <c r="B37"/>
    </row>
    <row r="38" spans="1:2" x14ac:dyDescent="0.35">
      <c r="A38"/>
      <c r="B38"/>
    </row>
    <row r="39" spans="1:2" x14ac:dyDescent="0.35">
      <c r="A39"/>
      <c r="B39"/>
    </row>
    <row r="40" spans="1:2" x14ac:dyDescent="0.35">
      <c r="A40"/>
      <c r="B40"/>
    </row>
    <row r="41" spans="1:2" x14ac:dyDescent="0.35">
      <c r="A41"/>
      <c r="B41"/>
    </row>
    <row r="42" spans="1:2" x14ac:dyDescent="0.35">
      <c r="A42"/>
      <c r="B42"/>
    </row>
    <row r="43" spans="1:2" x14ac:dyDescent="0.35">
      <c r="A43"/>
      <c r="B43"/>
    </row>
    <row r="44" spans="1:2" x14ac:dyDescent="0.35">
      <c r="A44"/>
      <c r="B44"/>
    </row>
    <row r="45" spans="1:2" x14ac:dyDescent="0.35">
      <c r="A45"/>
      <c r="B45"/>
    </row>
    <row r="46" spans="1:2" x14ac:dyDescent="0.35">
      <c r="A46"/>
      <c r="B46"/>
    </row>
    <row r="47" spans="1:2" x14ac:dyDescent="0.35">
      <c r="A47"/>
      <c r="B47"/>
    </row>
    <row r="48" spans="1:2" x14ac:dyDescent="0.35">
      <c r="A48"/>
      <c r="B48"/>
    </row>
    <row r="49" spans="1:2" x14ac:dyDescent="0.35">
      <c r="A49"/>
      <c r="B49"/>
    </row>
    <row r="50" spans="1:2" x14ac:dyDescent="0.35">
      <c r="A50"/>
      <c r="B50"/>
    </row>
    <row r="51" spans="1:2" x14ac:dyDescent="0.35">
      <c r="A51"/>
      <c r="B51"/>
    </row>
    <row r="52" spans="1:2" x14ac:dyDescent="0.35">
      <c r="A52"/>
      <c r="B52"/>
    </row>
    <row r="53" spans="1:2" x14ac:dyDescent="0.35">
      <c r="A53"/>
      <c r="B53"/>
    </row>
    <row r="54" spans="1:2" x14ac:dyDescent="0.35">
      <c r="A54"/>
      <c r="B54"/>
    </row>
    <row r="55" spans="1:2" x14ac:dyDescent="0.35">
      <c r="A55"/>
      <c r="B55"/>
    </row>
    <row r="56" spans="1:2" x14ac:dyDescent="0.35">
      <c r="A56"/>
      <c r="B56"/>
    </row>
    <row r="57" spans="1:2" x14ac:dyDescent="0.35">
      <c r="A57"/>
      <c r="B57"/>
    </row>
    <row r="58" spans="1:2" x14ac:dyDescent="0.35">
      <c r="A58"/>
      <c r="B58"/>
    </row>
    <row r="59" spans="1:2" x14ac:dyDescent="0.35">
      <c r="A59"/>
      <c r="B59"/>
    </row>
    <row r="60" spans="1:2" x14ac:dyDescent="0.35">
      <c r="A60"/>
      <c r="B60"/>
    </row>
    <row r="61" spans="1:2" x14ac:dyDescent="0.35">
      <c r="A61"/>
      <c r="B61"/>
    </row>
    <row r="62" spans="1:2" x14ac:dyDescent="0.35">
      <c r="A62"/>
      <c r="B62"/>
    </row>
    <row r="63" spans="1:2" x14ac:dyDescent="0.35">
      <c r="A63"/>
      <c r="B63"/>
    </row>
    <row r="64" spans="1:2" x14ac:dyDescent="0.35">
      <c r="A64"/>
      <c r="B64"/>
    </row>
    <row r="65" spans="1:2" x14ac:dyDescent="0.35">
      <c r="A65"/>
      <c r="B65"/>
    </row>
    <row r="66" spans="1:2" x14ac:dyDescent="0.35">
      <c r="A66"/>
      <c r="B66"/>
    </row>
    <row r="67" spans="1:2" x14ac:dyDescent="0.35">
      <c r="A67"/>
      <c r="B67"/>
    </row>
    <row r="68" spans="1:2" x14ac:dyDescent="0.35">
      <c r="A68"/>
      <c r="B68"/>
    </row>
    <row r="69" spans="1:2" x14ac:dyDescent="0.35">
      <c r="A69"/>
      <c r="B69"/>
    </row>
    <row r="70" spans="1:2" x14ac:dyDescent="0.35">
      <c r="A70"/>
      <c r="B70"/>
    </row>
    <row r="71" spans="1:2" x14ac:dyDescent="0.35">
      <c r="A71"/>
      <c r="B71"/>
    </row>
    <row r="72" spans="1:2" x14ac:dyDescent="0.35">
      <c r="A72"/>
      <c r="B72"/>
    </row>
    <row r="73" spans="1:2" x14ac:dyDescent="0.35">
      <c r="A73"/>
      <c r="B73"/>
    </row>
    <row r="74" spans="1:2" x14ac:dyDescent="0.35">
      <c r="A74"/>
      <c r="B74"/>
    </row>
    <row r="75" spans="1:2" x14ac:dyDescent="0.35">
      <c r="A75"/>
      <c r="B75"/>
    </row>
    <row r="76" spans="1:2" x14ac:dyDescent="0.35">
      <c r="A76"/>
      <c r="B76"/>
    </row>
    <row r="77" spans="1:2" x14ac:dyDescent="0.35">
      <c r="A77"/>
      <c r="B77"/>
    </row>
    <row r="78" spans="1:2" x14ac:dyDescent="0.35">
      <c r="A78"/>
      <c r="B78"/>
    </row>
    <row r="79" spans="1:2" x14ac:dyDescent="0.35">
      <c r="A79"/>
      <c r="B79"/>
    </row>
    <row r="80" spans="1:2" x14ac:dyDescent="0.35">
      <c r="A80"/>
      <c r="B80"/>
    </row>
    <row r="81" spans="1:2" x14ac:dyDescent="0.35">
      <c r="A81"/>
      <c r="B81"/>
    </row>
    <row r="82" spans="1:2" x14ac:dyDescent="0.35">
      <c r="A82"/>
      <c r="B82"/>
    </row>
    <row r="83" spans="1:2" x14ac:dyDescent="0.35">
      <c r="A83"/>
      <c r="B83"/>
    </row>
    <row r="84" spans="1:2" x14ac:dyDescent="0.35">
      <c r="A84"/>
      <c r="B84"/>
    </row>
    <row r="85" spans="1:2" x14ac:dyDescent="0.35">
      <c r="A85"/>
      <c r="B85"/>
    </row>
    <row r="86" spans="1:2" x14ac:dyDescent="0.35">
      <c r="A86"/>
      <c r="B86"/>
    </row>
    <row r="87" spans="1:2" x14ac:dyDescent="0.35">
      <c r="A87"/>
      <c r="B87"/>
    </row>
    <row r="88" spans="1:2" x14ac:dyDescent="0.35">
      <c r="A88"/>
      <c r="B88"/>
    </row>
    <row r="89" spans="1:2" x14ac:dyDescent="0.35">
      <c r="A89"/>
      <c r="B89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22793-3119-4D85-808A-993DBD1FD8B5}">
  <dimension ref="A1:E89"/>
  <sheetViews>
    <sheetView tabSelected="1" zoomScale="85" zoomScaleNormal="85" workbookViewId="0">
      <selection activeCell="D7" sqref="D7"/>
    </sheetView>
  </sheetViews>
  <sheetFormatPr defaultRowHeight="14.5" x14ac:dyDescent="0.35"/>
  <cols>
    <col min="1" max="1" width="14.81640625" style="7" bestFit="1" customWidth="1"/>
    <col min="2" max="2" width="14.81640625" style="7" customWidth="1"/>
    <col min="3" max="3" width="24.7265625" style="7" bestFit="1" customWidth="1"/>
    <col min="4" max="5" width="24.7265625" style="7" customWidth="1"/>
  </cols>
  <sheetData>
    <row r="1" spans="1:5" s="5" customFormat="1" x14ac:dyDescent="0.35">
      <c r="A1" s="6" t="s">
        <v>10</v>
      </c>
      <c r="B1" s="6" t="s">
        <v>263</v>
      </c>
      <c r="C1" s="10" t="s">
        <v>142</v>
      </c>
      <c r="D1" s="10" t="s">
        <v>141</v>
      </c>
      <c r="E1" s="10" t="s">
        <v>134</v>
      </c>
    </row>
    <row r="2" spans="1:5" x14ac:dyDescent="0.35">
      <c r="A2" s="7" t="s">
        <v>23</v>
      </c>
      <c r="B2" s="7" t="s">
        <v>262</v>
      </c>
      <c r="C2" s="11" t="s">
        <v>135</v>
      </c>
      <c r="D2" s="11" t="s">
        <v>136</v>
      </c>
      <c r="E2" s="11">
        <v>46</v>
      </c>
    </row>
    <row r="3" spans="1:5" x14ac:dyDescent="0.35">
      <c r="A3" s="7" t="s">
        <v>23</v>
      </c>
      <c r="B3" s="7" t="s">
        <v>262</v>
      </c>
      <c r="C3" s="11" t="s">
        <v>135</v>
      </c>
      <c r="D3" s="11" t="s">
        <v>137</v>
      </c>
      <c r="E3" s="11">
        <v>42</v>
      </c>
    </row>
    <row r="4" spans="1:5" x14ac:dyDescent="0.35">
      <c r="A4" s="7" t="s">
        <v>23</v>
      </c>
      <c r="B4" s="7" t="s">
        <v>262</v>
      </c>
      <c r="C4" s="11" t="s">
        <v>138</v>
      </c>
      <c r="D4" s="11" t="s">
        <v>137</v>
      </c>
      <c r="E4" s="11">
        <v>46</v>
      </c>
    </row>
    <row r="5" spans="1:5" x14ac:dyDescent="0.35">
      <c r="A5" s="7" t="s">
        <v>23</v>
      </c>
      <c r="B5" s="7" t="s">
        <v>262</v>
      </c>
      <c r="C5" s="11" t="s">
        <v>138</v>
      </c>
      <c r="D5" s="11" t="s">
        <v>137</v>
      </c>
      <c r="E5" s="11">
        <v>42</v>
      </c>
    </row>
    <row r="6" spans="1:5" x14ac:dyDescent="0.35">
      <c r="A6" s="7" t="s">
        <v>23</v>
      </c>
      <c r="B6" s="7" t="s">
        <v>262</v>
      </c>
      <c r="C6" s="11" t="s">
        <v>135</v>
      </c>
      <c r="D6" s="11" t="s">
        <v>136</v>
      </c>
      <c r="E6" s="11">
        <v>38</v>
      </c>
    </row>
    <row r="7" spans="1:5" x14ac:dyDescent="0.35">
      <c r="A7" s="7" t="s">
        <v>23</v>
      </c>
      <c r="B7" s="7" t="s">
        <v>262</v>
      </c>
      <c r="C7" s="11" t="s">
        <v>135</v>
      </c>
      <c r="D7" s="11" t="s">
        <v>137</v>
      </c>
      <c r="E7" s="11">
        <v>38</v>
      </c>
    </row>
    <row r="8" spans="1:5" x14ac:dyDescent="0.35">
      <c r="A8" s="7" t="s">
        <v>23</v>
      </c>
      <c r="B8" s="7" t="s">
        <v>262</v>
      </c>
      <c r="C8" s="11" t="s">
        <v>135</v>
      </c>
      <c r="D8" s="11" t="s">
        <v>136</v>
      </c>
      <c r="E8" s="11">
        <v>42</v>
      </c>
    </row>
    <row r="9" spans="1:5" x14ac:dyDescent="0.35">
      <c r="A9" s="7" t="s">
        <v>23</v>
      </c>
      <c r="B9" s="7" t="s">
        <v>262</v>
      </c>
      <c r="C9" s="11" t="s">
        <v>138</v>
      </c>
      <c r="D9" s="11" t="s">
        <v>137</v>
      </c>
      <c r="E9" s="11">
        <v>38</v>
      </c>
    </row>
    <row r="10" spans="1:5" x14ac:dyDescent="0.35">
      <c r="A10" s="7" t="s">
        <v>23</v>
      </c>
      <c r="B10" s="7" t="s">
        <v>262</v>
      </c>
      <c r="C10" s="11" t="s">
        <v>139</v>
      </c>
      <c r="D10" s="11" t="s">
        <v>137</v>
      </c>
      <c r="E10" s="11">
        <v>42</v>
      </c>
    </row>
    <row r="11" spans="1:5" x14ac:dyDescent="0.35">
      <c r="A11" s="7" t="s">
        <v>23</v>
      </c>
      <c r="B11" s="7" t="s">
        <v>262</v>
      </c>
      <c r="C11" s="11" t="s">
        <v>139</v>
      </c>
      <c r="D11" s="11" t="s">
        <v>136</v>
      </c>
      <c r="E11" s="11">
        <v>42</v>
      </c>
    </row>
    <row r="12" spans="1:5" x14ac:dyDescent="0.35">
      <c r="A12" s="7" t="s">
        <v>23</v>
      </c>
      <c r="B12" s="7" t="s">
        <v>262</v>
      </c>
      <c r="C12" s="11" t="s">
        <v>140</v>
      </c>
      <c r="D12" s="11" t="s">
        <v>136</v>
      </c>
      <c r="E12" s="11">
        <v>38</v>
      </c>
    </row>
    <row r="13" spans="1:5" x14ac:dyDescent="0.35">
      <c r="A13" s="7" t="s">
        <v>23</v>
      </c>
      <c r="B13" s="7" t="s">
        <v>262</v>
      </c>
      <c r="C13" s="11" t="s">
        <v>139</v>
      </c>
      <c r="D13" s="11" t="s">
        <v>136</v>
      </c>
      <c r="E13" s="11">
        <v>40</v>
      </c>
    </row>
    <row r="14" spans="1:5" x14ac:dyDescent="0.35">
      <c r="A14" s="7" t="s">
        <v>23</v>
      </c>
      <c r="B14" s="7" t="s">
        <v>262</v>
      </c>
      <c r="C14" s="11" t="s">
        <v>140</v>
      </c>
      <c r="D14" s="11" t="s">
        <v>137</v>
      </c>
      <c r="E14" s="11">
        <v>44</v>
      </c>
    </row>
    <row r="15" spans="1:5" x14ac:dyDescent="0.35">
      <c r="A15" s="7" t="s">
        <v>23</v>
      </c>
      <c r="B15" s="7" t="s">
        <v>262</v>
      </c>
      <c r="C15" s="11" t="s">
        <v>139</v>
      </c>
      <c r="D15" s="11" t="s">
        <v>137</v>
      </c>
      <c r="E15" s="11">
        <v>40</v>
      </c>
    </row>
    <row r="16" spans="1:5" x14ac:dyDescent="0.35">
      <c r="A16" s="7" t="s">
        <v>23</v>
      </c>
      <c r="B16" s="7" t="s">
        <v>262</v>
      </c>
      <c r="C16" s="11" t="s">
        <v>135</v>
      </c>
      <c r="D16" s="11" t="s">
        <v>137</v>
      </c>
      <c r="E16" s="11">
        <v>46</v>
      </c>
    </row>
    <row r="17" spans="1:5" x14ac:dyDescent="0.35">
      <c r="A17" s="7" t="s">
        <v>23</v>
      </c>
      <c r="B17" s="7" t="s">
        <v>262</v>
      </c>
      <c r="C17" s="11" t="s">
        <v>139</v>
      </c>
      <c r="D17" s="11" t="s">
        <v>136</v>
      </c>
      <c r="E17" s="11">
        <v>44</v>
      </c>
    </row>
    <row r="18" spans="1:5" x14ac:dyDescent="0.35">
      <c r="A18" s="7" t="s">
        <v>23</v>
      </c>
      <c r="B18" s="7" t="s">
        <v>262</v>
      </c>
      <c r="C18" s="11" t="s">
        <v>140</v>
      </c>
      <c r="D18" s="11" t="s">
        <v>136</v>
      </c>
      <c r="E18" s="11">
        <v>48</v>
      </c>
    </row>
    <row r="19" spans="1:5" x14ac:dyDescent="0.35">
      <c r="A19" s="7" t="s">
        <v>23</v>
      </c>
      <c r="B19" s="7" t="s">
        <v>262</v>
      </c>
      <c r="C19" s="11" t="s">
        <v>139</v>
      </c>
      <c r="D19" s="11" t="s">
        <v>136</v>
      </c>
      <c r="E19" s="11">
        <v>52</v>
      </c>
    </row>
    <row r="20" spans="1:5" x14ac:dyDescent="0.35">
      <c r="A20"/>
      <c r="B20"/>
      <c r="C20"/>
      <c r="D20"/>
      <c r="E20"/>
    </row>
    <row r="21" spans="1:5" x14ac:dyDescent="0.35">
      <c r="A21"/>
      <c r="B21"/>
      <c r="C21"/>
      <c r="D21"/>
      <c r="E21"/>
    </row>
    <row r="22" spans="1:5" x14ac:dyDescent="0.35">
      <c r="A22"/>
      <c r="B22"/>
      <c r="C22"/>
      <c r="D22"/>
      <c r="E22"/>
    </row>
    <row r="23" spans="1:5" x14ac:dyDescent="0.35">
      <c r="A23"/>
      <c r="B23"/>
      <c r="C23"/>
      <c r="D23"/>
      <c r="E23"/>
    </row>
    <row r="24" spans="1:5" x14ac:dyDescent="0.35">
      <c r="A24"/>
      <c r="B24"/>
      <c r="C24"/>
      <c r="D24"/>
      <c r="E24"/>
    </row>
    <row r="25" spans="1:5" x14ac:dyDescent="0.35">
      <c r="A25"/>
      <c r="B25"/>
      <c r="C25"/>
      <c r="D25"/>
      <c r="E25"/>
    </row>
    <row r="26" spans="1:5" x14ac:dyDescent="0.35">
      <c r="A26"/>
      <c r="B26"/>
      <c r="C26"/>
      <c r="D26"/>
      <c r="E26"/>
    </row>
    <row r="27" spans="1:5" x14ac:dyDescent="0.35">
      <c r="A27"/>
      <c r="B27"/>
      <c r="C27"/>
      <c r="D27"/>
      <c r="E27"/>
    </row>
    <row r="28" spans="1:5" x14ac:dyDescent="0.35">
      <c r="A28"/>
      <c r="B28"/>
      <c r="C28"/>
      <c r="D28"/>
      <c r="E28"/>
    </row>
    <row r="29" spans="1:5" x14ac:dyDescent="0.35">
      <c r="A29"/>
      <c r="B29"/>
      <c r="C29"/>
      <c r="D29"/>
      <c r="E29"/>
    </row>
    <row r="30" spans="1:5" x14ac:dyDescent="0.35">
      <c r="A30"/>
      <c r="B30"/>
      <c r="C30"/>
      <c r="D30"/>
      <c r="E30"/>
    </row>
    <row r="31" spans="1:5" x14ac:dyDescent="0.35">
      <c r="A31"/>
      <c r="B31"/>
      <c r="C31"/>
      <c r="D31"/>
      <c r="E31"/>
    </row>
    <row r="32" spans="1:5" x14ac:dyDescent="0.35">
      <c r="A32"/>
      <c r="B32"/>
      <c r="C32"/>
      <c r="D32"/>
      <c r="E32"/>
    </row>
    <row r="33" customFormat="1" x14ac:dyDescent="0.35"/>
    <row r="34" customFormat="1" x14ac:dyDescent="0.35"/>
    <row r="35" customFormat="1" x14ac:dyDescent="0.35"/>
    <row r="36" customFormat="1" x14ac:dyDescent="0.35"/>
    <row r="37" customFormat="1" x14ac:dyDescent="0.35"/>
    <row r="38" customFormat="1" x14ac:dyDescent="0.35"/>
    <row r="39" customFormat="1" x14ac:dyDescent="0.35"/>
    <row r="40" customFormat="1" x14ac:dyDescent="0.35"/>
    <row r="41" customFormat="1" x14ac:dyDescent="0.35"/>
    <row r="42" customFormat="1" x14ac:dyDescent="0.35"/>
    <row r="43" customFormat="1" x14ac:dyDescent="0.35"/>
    <row r="44" customFormat="1" x14ac:dyDescent="0.35"/>
    <row r="45" customFormat="1" x14ac:dyDescent="0.35"/>
    <row r="46" customFormat="1" x14ac:dyDescent="0.35"/>
    <row r="47" customFormat="1" x14ac:dyDescent="0.35"/>
    <row r="48" customFormat="1" x14ac:dyDescent="0.35"/>
    <row r="49" customFormat="1" x14ac:dyDescent="0.35"/>
    <row r="50" customFormat="1" x14ac:dyDescent="0.35"/>
    <row r="51" customFormat="1" x14ac:dyDescent="0.35"/>
    <row r="52" customFormat="1" x14ac:dyDescent="0.35"/>
    <row r="53" customFormat="1" x14ac:dyDescent="0.35"/>
    <row r="54" customFormat="1" x14ac:dyDescent="0.35"/>
    <row r="55" customFormat="1" x14ac:dyDescent="0.35"/>
    <row r="56" customFormat="1" x14ac:dyDescent="0.35"/>
    <row r="57" customFormat="1" x14ac:dyDescent="0.35"/>
    <row r="58" customFormat="1" x14ac:dyDescent="0.35"/>
    <row r="59" customFormat="1" x14ac:dyDescent="0.35"/>
    <row r="60" customFormat="1" x14ac:dyDescent="0.35"/>
    <row r="61" customFormat="1" x14ac:dyDescent="0.35"/>
    <row r="62" customFormat="1" x14ac:dyDescent="0.35"/>
    <row r="63" customFormat="1" x14ac:dyDescent="0.35"/>
    <row r="64" customFormat="1" x14ac:dyDescent="0.35"/>
    <row r="65" customFormat="1" x14ac:dyDescent="0.35"/>
    <row r="66" customFormat="1" x14ac:dyDescent="0.35"/>
    <row r="67" customFormat="1" x14ac:dyDescent="0.35"/>
    <row r="68" customFormat="1" x14ac:dyDescent="0.35"/>
    <row r="69" customFormat="1" x14ac:dyDescent="0.35"/>
    <row r="70" customFormat="1" x14ac:dyDescent="0.35"/>
    <row r="71" customFormat="1" x14ac:dyDescent="0.35"/>
    <row r="72" customFormat="1" x14ac:dyDescent="0.35"/>
    <row r="73" customFormat="1" x14ac:dyDescent="0.35"/>
    <row r="74" customFormat="1" x14ac:dyDescent="0.35"/>
    <row r="75" customFormat="1" x14ac:dyDescent="0.35"/>
    <row r="76" customFormat="1" x14ac:dyDescent="0.35"/>
    <row r="77" customFormat="1" x14ac:dyDescent="0.35"/>
    <row r="78" customFormat="1" x14ac:dyDescent="0.35"/>
    <row r="79" customFormat="1" x14ac:dyDescent="0.35"/>
    <row r="80" customFormat="1" x14ac:dyDescent="0.35"/>
    <row r="81" customFormat="1" x14ac:dyDescent="0.35"/>
    <row r="82" customFormat="1" x14ac:dyDescent="0.35"/>
    <row r="83" customFormat="1" x14ac:dyDescent="0.35"/>
    <row r="84" customFormat="1" x14ac:dyDescent="0.35"/>
    <row r="85" customFormat="1" x14ac:dyDescent="0.35"/>
    <row r="86" customFormat="1" x14ac:dyDescent="0.35"/>
    <row r="87" customFormat="1" x14ac:dyDescent="0.35"/>
    <row r="88" customFormat="1" x14ac:dyDescent="0.35"/>
    <row r="89" customFormat="1" x14ac:dyDescent="0.35"/>
  </sheetData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U89"/>
  <sheetViews>
    <sheetView topLeftCell="J1" zoomScale="85" zoomScaleNormal="85" workbookViewId="0">
      <selection activeCell="J1" sqref="J1:J1048576"/>
    </sheetView>
  </sheetViews>
  <sheetFormatPr defaultRowHeight="14.5" x14ac:dyDescent="0.35"/>
  <cols>
    <col min="1" max="1" width="13.26953125" bestFit="1" customWidth="1"/>
    <col min="2" max="2" width="10.7265625" bestFit="1" customWidth="1"/>
    <col min="3" max="3" width="4.26953125" bestFit="1" customWidth="1"/>
    <col min="4" max="4" width="10.1796875" bestFit="1" customWidth="1"/>
    <col min="5" max="5" width="5" bestFit="1" customWidth="1"/>
    <col min="6" max="6" width="9.54296875" bestFit="1" customWidth="1"/>
    <col min="7" max="7" width="19.453125" style="4" bestFit="1" customWidth="1"/>
    <col min="8" max="8" width="9.453125" customWidth="1"/>
    <col min="9" max="9" width="15.453125" bestFit="1" customWidth="1"/>
    <col min="10" max="10" width="20.26953125" style="9" bestFit="1" customWidth="1"/>
    <col min="11" max="11" width="16.81640625" style="7" bestFit="1" customWidth="1"/>
    <col min="12" max="12" width="14.81640625" style="7" bestFit="1" customWidth="1"/>
    <col min="13" max="13" width="24.7265625" style="7" bestFit="1" customWidth="1"/>
    <col min="14" max="15" width="24.7265625" style="7" customWidth="1"/>
    <col min="16" max="16" width="9.7265625" bestFit="1" customWidth="1"/>
    <col min="17" max="17" width="9.81640625" bestFit="1" customWidth="1"/>
    <col min="18" max="18" width="10.7265625" bestFit="1" customWidth="1"/>
    <col min="19" max="20" width="9.81640625" bestFit="1" customWidth="1"/>
    <col min="21" max="21" width="10.81640625" bestFit="1" customWidth="1"/>
  </cols>
  <sheetData>
    <row r="1" spans="1:21" s="5" customFormat="1" ht="43.5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143</v>
      </c>
      <c r="I1" t="s">
        <v>7</v>
      </c>
      <c r="J1" s="8" t="s">
        <v>8</v>
      </c>
      <c r="K1" s="6" t="s">
        <v>9</v>
      </c>
      <c r="L1" s="6" t="s">
        <v>10</v>
      </c>
      <c r="M1" s="10" t="s">
        <v>142</v>
      </c>
      <c r="N1" s="10" t="s">
        <v>141</v>
      </c>
      <c r="O1" s="10" t="s">
        <v>134</v>
      </c>
      <c r="P1" s="5" t="s">
        <v>11</v>
      </c>
      <c r="Q1" s="5" t="s">
        <v>12</v>
      </c>
      <c r="R1" s="5" t="s">
        <v>13</v>
      </c>
      <c r="S1" s="5" t="s">
        <v>14</v>
      </c>
      <c r="T1" s="5" t="s">
        <v>15</v>
      </c>
      <c r="U1" s="5" t="s">
        <v>16</v>
      </c>
    </row>
    <row r="2" spans="1:21" x14ac:dyDescent="0.35">
      <c r="A2" s="3" t="s">
        <v>17</v>
      </c>
      <c r="B2" s="1">
        <v>44531</v>
      </c>
      <c r="C2">
        <v>1</v>
      </c>
      <c r="D2" t="s">
        <v>18</v>
      </c>
      <c r="E2">
        <v>2021</v>
      </c>
      <c r="F2">
        <v>39</v>
      </c>
      <c r="G2" s="4" t="s">
        <v>19</v>
      </c>
      <c r="H2" t="s">
        <v>145</v>
      </c>
      <c r="I2" t="s">
        <v>20</v>
      </c>
      <c r="J2" s="9" t="s">
        <v>21</v>
      </c>
      <c r="K2" s="7" t="s">
        <v>22</v>
      </c>
      <c r="L2" s="7" t="s">
        <v>23</v>
      </c>
      <c r="M2" s="11" t="s">
        <v>135</v>
      </c>
      <c r="N2" s="11" t="s">
        <v>136</v>
      </c>
      <c r="O2" s="11">
        <v>46</v>
      </c>
      <c r="P2">
        <v>4</v>
      </c>
      <c r="Q2" s="2">
        <v>1252</v>
      </c>
      <c r="R2" s="2">
        <v>2295</v>
      </c>
      <c r="S2" s="2">
        <v>4172</v>
      </c>
      <c r="T2" s="2">
        <f>P2*Q2</f>
        <v>5008</v>
      </c>
      <c r="U2" s="2">
        <f>P2*R2</f>
        <v>9180</v>
      </c>
    </row>
    <row r="3" spans="1:21" x14ac:dyDescent="0.35">
      <c r="A3" s="3" t="s">
        <v>133</v>
      </c>
      <c r="B3" s="1">
        <v>44531</v>
      </c>
      <c r="C3">
        <v>1</v>
      </c>
      <c r="D3" t="s">
        <v>18</v>
      </c>
      <c r="E3">
        <v>2021</v>
      </c>
      <c r="F3">
        <v>44</v>
      </c>
      <c r="G3" s="4" t="s">
        <v>19</v>
      </c>
      <c r="H3" t="s">
        <v>144</v>
      </c>
      <c r="I3" t="s">
        <v>24</v>
      </c>
      <c r="J3" s="9" t="s">
        <v>25</v>
      </c>
      <c r="K3" s="7" t="s">
        <v>22</v>
      </c>
      <c r="L3" s="7" t="s">
        <v>23</v>
      </c>
      <c r="M3" s="11" t="s">
        <v>135</v>
      </c>
      <c r="N3" s="11" t="s">
        <v>137</v>
      </c>
      <c r="O3" s="11">
        <v>42</v>
      </c>
      <c r="P3">
        <v>1</v>
      </c>
      <c r="Q3" s="2">
        <v>1266</v>
      </c>
      <c r="R3" s="2">
        <v>2320</v>
      </c>
      <c r="S3" s="2">
        <v>1054</v>
      </c>
      <c r="T3" s="2">
        <f t="shared" ref="T3:T66" si="0">P3*Q3</f>
        <v>1266</v>
      </c>
      <c r="U3" s="2">
        <f t="shared" ref="U3:U66" si="1">P3*R3</f>
        <v>2320</v>
      </c>
    </row>
    <row r="4" spans="1:21" x14ac:dyDescent="0.35">
      <c r="A4" s="3" t="s">
        <v>26</v>
      </c>
      <c r="B4" s="1">
        <v>44532</v>
      </c>
      <c r="C4">
        <v>2</v>
      </c>
      <c r="D4" t="s">
        <v>18</v>
      </c>
      <c r="E4">
        <v>2021</v>
      </c>
      <c r="F4">
        <v>37</v>
      </c>
      <c r="G4" s="4" t="s">
        <v>19</v>
      </c>
      <c r="H4" t="s">
        <v>144</v>
      </c>
      <c r="I4" t="s">
        <v>20</v>
      </c>
      <c r="J4" s="9" t="s">
        <v>21</v>
      </c>
      <c r="K4" s="7" t="s">
        <v>22</v>
      </c>
      <c r="L4" s="7" t="s">
        <v>23</v>
      </c>
      <c r="M4" s="11" t="s">
        <v>138</v>
      </c>
      <c r="N4" s="11" t="s">
        <v>137</v>
      </c>
      <c r="O4" s="11">
        <v>46</v>
      </c>
      <c r="P4">
        <v>2</v>
      </c>
      <c r="Q4" s="2">
        <v>420</v>
      </c>
      <c r="R4" s="2">
        <v>769</v>
      </c>
      <c r="S4" s="2">
        <v>698</v>
      </c>
      <c r="T4" s="2">
        <f t="shared" si="0"/>
        <v>840</v>
      </c>
      <c r="U4" s="2">
        <f t="shared" si="1"/>
        <v>1538</v>
      </c>
    </row>
    <row r="5" spans="1:21" x14ac:dyDescent="0.35">
      <c r="A5" s="3" t="s">
        <v>27</v>
      </c>
      <c r="B5" s="1">
        <v>44532</v>
      </c>
      <c r="C5">
        <v>2</v>
      </c>
      <c r="D5" t="s">
        <v>18</v>
      </c>
      <c r="E5">
        <v>2021</v>
      </c>
      <c r="F5">
        <v>31</v>
      </c>
      <c r="G5" s="4" t="s">
        <v>28</v>
      </c>
      <c r="H5" t="s">
        <v>145</v>
      </c>
      <c r="I5" t="s">
        <v>29</v>
      </c>
      <c r="J5" s="9" t="s">
        <v>30</v>
      </c>
      <c r="K5" s="7" t="s">
        <v>22</v>
      </c>
      <c r="L5" s="7" t="s">
        <v>23</v>
      </c>
      <c r="M5" s="11" t="s">
        <v>138</v>
      </c>
      <c r="N5" s="11" t="s">
        <v>137</v>
      </c>
      <c r="O5" s="11">
        <v>42</v>
      </c>
      <c r="P5">
        <v>1</v>
      </c>
      <c r="Q5" s="2">
        <v>420</v>
      </c>
      <c r="R5" s="2">
        <v>769</v>
      </c>
      <c r="S5" s="2">
        <v>349</v>
      </c>
      <c r="T5" s="2">
        <f t="shared" si="0"/>
        <v>420</v>
      </c>
      <c r="U5" s="2">
        <f t="shared" si="1"/>
        <v>769</v>
      </c>
    </row>
    <row r="6" spans="1:21" x14ac:dyDescent="0.35">
      <c r="A6" s="3" t="s">
        <v>31</v>
      </c>
      <c r="B6" s="1">
        <v>44533</v>
      </c>
      <c r="C6">
        <v>3</v>
      </c>
      <c r="D6" t="s">
        <v>18</v>
      </c>
      <c r="E6">
        <v>2021</v>
      </c>
      <c r="F6">
        <v>37</v>
      </c>
      <c r="G6" s="4" t="s">
        <v>19</v>
      </c>
      <c r="H6" t="s">
        <v>145</v>
      </c>
      <c r="I6" t="s">
        <v>20</v>
      </c>
      <c r="J6" s="9" t="s">
        <v>21</v>
      </c>
      <c r="K6" s="7" t="s">
        <v>22</v>
      </c>
      <c r="L6" s="7" t="s">
        <v>23</v>
      </c>
      <c r="M6" s="11" t="s">
        <v>135</v>
      </c>
      <c r="N6" s="11" t="s">
        <v>136</v>
      </c>
      <c r="O6" s="11">
        <v>46</v>
      </c>
      <c r="P6">
        <v>2</v>
      </c>
      <c r="Q6" s="2">
        <v>1252</v>
      </c>
      <c r="R6" s="2">
        <v>2295</v>
      </c>
      <c r="S6" s="2">
        <v>2086</v>
      </c>
      <c r="T6" s="2">
        <f t="shared" si="0"/>
        <v>2504</v>
      </c>
      <c r="U6" s="2">
        <f t="shared" si="1"/>
        <v>4590</v>
      </c>
    </row>
    <row r="7" spans="1:21" x14ac:dyDescent="0.35">
      <c r="A7" s="3" t="s">
        <v>32</v>
      </c>
      <c r="B7" s="1">
        <v>44533</v>
      </c>
      <c r="C7">
        <v>3</v>
      </c>
      <c r="D7" t="s">
        <v>18</v>
      </c>
      <c r="E7">
        <v>2021</v>
      </c>
      <c r="F7">
        <v>24</v>
      </c>
      <c r="G7" s="4" t="s">
        <v>33</v>
      </c>
      <c r="H7" t="s">
        <v>145</v>
      </c>
      <c r="I7" t="s">
        <v>24</v>
      </c>
      <c r="J7" s="9" t="s">
        <v>25</v>
      </c>
      <c r="K7" s="7" t="s">
        <v>22</v>
      </c>
      <c r="L7" s="7" t="s">
        <v>23</v>
      </c>
      <c r="M7" s="11" t="s">
        <v>135</v>
      </c>
      <c r="N7" s="11" t="s">
        <v>136</v>
      </c>
      <c r="O7" s="11">
        <v>38</v>
      </c>
      <c r="P7">
        <v>1</v>
      </c>
      <c r="Q7" s="2">
        <v>1252</v>
      </c>
      <c r="R7" s="2">
        <v>2295</v>
      </c>
      <c r="S7" s="2">
        <v>1043</v>
      </c>
      <c r="T7" s="2">
        <f t="shared" si="0"/>
        <v>1252</v>
      </c>
      <c r="U7" s="2">
        <f t="shared" si="1"/>
        <v>2295</v>
      </c>
    </row>
    <row r="8" spans="1:21" x14ac:dyDescent="0.35">
      <c r="A8" s="3" t="s">
        <v>34</v>
      </c>
      <c r="B8" s="1">
        <v>44533</v>
      </c>
      <c r="C8">
        <v>3</v>
      </c>
      <c r="D8" t="s">
        <v>18</v>
      </c>
      <c r="E8">
        <v>2021</v>
      </c>
      <c r="F8">
        <v>37</v>
      </c>
      <c r="G8" s="4" t="s">
        <v>19</v>
      </c>
      <c r="H8" t="s">
        <v>144</v>
      </c>
      <c r="I8" t="s">
        <v>20</v>
      </c>
      <c r="J8" s="9" t="s">
        <v>35</v>
      </c>
      <c r="K8" s="7" t="s">
        <v>22</v>
      </c>
      <c r="L8" s="7" t="s">
        <v>23</v>
      </c>
      <c r="M8" s="11" t="s">
        <v>135</v>
      </c>
      <c r="N8" s="11" t="s">
        <v>136</v>
      </c>
      <c r="O8" s="11">
        <v>46</v>
      </c>
      <c r="P8">
        <v>1</v>
      </c>
      <c r="Q8" s="2">
        <v>1252</v>
      </c>
      <c r="R8" s="2">
        <v>2295</v>
      </c>
      <c r="S8" s="2">
        <v>1043</v>
      </c>
      <c r="T8" s="2">
        <f t="shared" si="0"/>
        <v>1252</v>
      </c>
      <c r="U8" s="2">
        <f t="shared" si="1"/>
        <v>2295</v>
      </c>
    </row>
    <row r="9" spans="1:21" x14ac:dyDescent="0.35">
      <c r="A9" s="3" t="s">
        <v>36</v>
      </c>
      <c r="B9" s="1">
        <v>44534</v>
      </c>
      <c r="C9">
        <v>4</v>
      </c>
      <c r="D9" t="s">
        <v>18</v>
      </c>
      <c r="E9">
        <v>2021</v>
      </c>
      <c r="F9">
        <v>31</v>
      </c>
      <c r="G9" s="4" t="s">
        <v>28</v>
      </c>
      <c r="H9" t="s">
        <v>145</v>
      </c>
      <c r="I9" t="s">
        <v>29</v>
      </c>
      <c r="J9" s="9" t="s">
        <v>30</v>
      </c>
      <c r="K9" s="7" t="s">
        <v>22</v>
      </c>
      <c r="L9" s="7" t="s">
        <v>23</v>
      </c>
      <c r="M9" s="11" t="s">
        <v>138</v>
      </c>
      <c r="N9" s="11" t="s">
        <v>137</v>
      </c>
      <c r="O9" s="11">
        <v>42</v>
      </c>
      <c r="P9">
        <v>4</v>
      </c>
      <c r="Q9" s="2">
        <v>420</v>
      </c>
      <c r="R9" s="2">
        <v>769</v>
      </c>
      <c r="S9" s="2">
        <v>1396</v>
      </c>
      <c r="T9" s="2">
        <f t="shared" si="0"/>
        <v>1680</v>
      </c>
      <c r="U9" s="2">
        <f t="shared" si="1"/>
        <v>3076</v>
      </c>
    </row>
    <row r="10" spans="1:21" x14ac:dyDescent="0.35">
      <c r="A10" s="3" t="s">
        <v>37</v>
      </c>
      <c r="B10" s="1">
        <v>44535</v>
      </c>
      <c r="C10">
        <v>5</v>
      </c>
      <c r="D10" t="s">
        <v>18</v>
      </c>
      <c r="E10">
        <v>2021</v>
      </c>
      <c r="F10">
        <v>39</v>
      </c>
      <c r="G10" s="4" t="s">
        <v>19</v>
      </c>
      <c r="H10" t="s">
        <v>145</v>
      </c>
      <c r="I10" t="s">
        <v>20</v>
      </c>
      <c r="J10" s="9" t="s">
        <v>21</v>
      </c>
      <c r="K10" s="7" t="s">
        <v>22</v>
      </c>
      <c r="L10" s="7" t="s">
        <v>23</v>
      </c>
      <c r="M10" s="11" t="s">
        <v>135</v>
      </c>
      <c r="N10" s="11" t="s">
        <v>136</v>
      </c>
      <c r="O10" s="11">
        <v>46</v>
      </c>
      <c r="P10">
        <v>4</v>
      </c>
      <c r="Q10" s="2">
        <v>1252</v>
      </c>
      <c r="R10" s="2">
        <v>2295</v>
      </c>
      <c r="S10" s="2">
        <v>4172</v>
      </c>
      <c r="T10" s="2">
        <f t="shared" si="0"/>
        <v>5008</v>
      </c>
      <c r="U10" s="2">
        <f t="shared" si="1"/>
        <v>9180</v>
      </c>
    </row>
    <row r="11" spans="1:21" x14ac:dyDescent="0.35">
      <c r="A11" s="3" t="s">
        <v>38</v>
      </c>
      <c r="B11" s="1">
        <v>44535</v>
      </c>
      <c r="C11">
        <v>5</v>
      </c>
      <c r="D11" t="s">
        <v>18</v>
      </c>
      <c r="E11">
        <v>2021</v>
      </c>
      <c r="F11">
        <v>42</v>
      </c>
      <c r="G11" s="4" t="s">
        <v>19</v>
      </c>
      <c r="H11" t="s">
        <v>144</v>
      </c>
      <c r="I11" t="s">
        <v>39</v>
      </c>
      <c r="J11" s="9" t="s">
        <v>40</v>
      </c>
      <c r="K11" s="7" t="s">
        <v>22</v>
      </c>
      <c r="L11" s="7" t="s">
        <v>23</v>
      </c>
      <c r="M11" s="11" t="s">
        <v>135</v>
      </c>
      <c r="N11" s="11" t="s">
        <v>136</v>
      </c>
      <c r="O11" s="11">
        <v>38</v>
      </c>
      <c r="P11">
        <v>4</v>
      </c>
      <c r="Q11" s="2">
        <v>1252</v>
      </c>
      <c r="R11" s="2">
        <v>2295</v>
      </c>
      <c r="S11" s="2">
        <v>4172</v>
      </c>
      <c r="T11" s="2">
        <f t="shared" si="0"/>
        <v>5008</v>
      </c>
      <c r="U11" s="2">
        <f t="shared" si="1"/>
        <v>9180</v>
      </c>
    </row>
    <row r="12" spans="1:21" x14ac:dyDescent="0.35">
      <c r="A12" s="3" t="s">
        <v>41</v>
      </c>
      <c r="B12" s="1">
        <v>44535</v>
      </c>
      <c r="C12">
        <v>5</v>
      </c>
      <c r="D12" t="s">
        <v>18</v>
      </c>
      <c r="E12">
        <v>2021</v>
      </c>
      <c r="F12">
        <v>35</v>
      </c>
      <c r="G12" s="4" t="s">
        <v>19</v>
      </c>
      <c r="H12" t="s">
        <v>145</v>
      </c>
      <c r="I12" t="s">
        <v>29</v>
      </c>
      <c r="J12" s="9" t="s">
        <v>42</v>
      </c>
      <c r="K12" s="7" t="s">
        <v>22</v>
      </c>
      <c r="L12" s="7" t="s">
        <v>23</v>
      </c>
      <c r="M12" s="11" t="s">
        <v>135</v>
      </c>
      <c r="N12" s="11" t="s">
        <v>137</v>
      </c>
      <c r="O12" s="11">
        <v>38</v>
      </c>
      <c r="P12">
        <v>1</v>
      </c>
      <c r="Q12" s="2">
        <v>1266</v>
      </c>
      <c r="R12" s="2">
        <v>2320</v>
      </c>
      <c r="S12" s="2">
        <v>1054</v>
      </c>
      <c r="T12" s="2">
        <f t="shared" si="0"/>
        <v>1266</v>
      </c>
      <c r="U12" s="2">
        <f t="shared" si="1"/>
        <v>2320</v>
      </c>
    </row>
    <row r="13" spans="1:21" x14ac:dyDescent="0.35">
      <c r="A13" s="3" t="s">
        <v>43</v>
      </c>
      <c r="B13" s="1">
        <v>44535</v>
      </c>
      <c r="C13">
        <v>5</v>
      </c>
      <c r="D13" t="s">
        <v>18</v>
      </c>
      <c r="E13">
        <v>2021</v>
      </c>
      <c r="F13">
        <v>37</v>
      </c>
      <c r="G13" s="4" t="s">
        <v>19</v>
      </c>
      <c r="H13" t="s">
        <v>145</v>
      </c>
      <c r="I13" t="s">
        <v>20</v>
      </c>
      <c r="J13" s="9" t="s">
        <v>21</v>
      </c>
      <c r="K13" s="7" t="s">
        <v>22</v>
      </c>
      <c r="L13" s="7" t="s">
        <v>23</v>
      </c>
      <c r="M13" s="11" t="s">
        <v>135</v>
      </c>
      <c r="N13" s="11" t="s">
        <v>136</v>
      </c>
      <c r="O13" s="11">
        <v>46</v>
      </c>
      <c r="P13">
        <v>1</v>
      </c>
      <c r="Q13" s="2">
        <v>1252</v>
      </c>
      <c r="R13" s="2">
        <v>2295</v>
      </c>
      <c r="S13" s="2">
        <v>1043</v>
      </c>
      <c r="T13" s="2">
        <f t="shared" si="0"/>
        <v>1252</v>
      </c>
      <c r="U13" s="2">
        <f t="shared" si="1"/>
        <v>2295</v>
      </c>
    </row>
    <row r="14" spans="1:21" x14ac:dyDescent="0.35">
      <c r="A14" s="3" t="s">
        <v>44</v>
      </c>
      <c r="B14" s="1">
        <v>44536</v>
      </c>
      <c r="C14">
        <v>6</v>
      </c>
      <c r="D14" t="s">
        <v>18</v>
      </c>
      <c r="E14">
        <v>2021</v>
      </c>
      <c r="F14">
        <v>23</v>
      </c>
      <c r="G14" s="4" t="s">
        <v>33</v>
      </c>
      <c r="H14" t="s">
        <v>144</v>
      </c>
      <c r="I14" t="s">
        <v>24</v>
      </c>
      <c r="J14" s="9" t="s">
        <v>25</v>
      </c>
      <c r="K14" s="7" t="s">
        <v>22</v>
      </c>
      <c r="L14" s="7" t="s">
        <v>23</v>
      </c>
      <c r="M14" s="11" t="s">
        <v>138</v>
      </c>
      <c r="N14" s="11" t="s">
        <v>137</v>
      </c>
      <c r="O14" s="11">
        <v>46</v>
      </c>
      <c r="P14">
        <v>3</v>
      </c>
      <c r="Q14" s="2">
        <v>420</v>
      </c>
      <c r="R14" s="2">
        <v>769</v>
      </c>
      <c r="S14" s="2">
        <v>1047</v>
      </c>
      <c r="T14" s="2">
        <f t="shared" si="0"/>
        <v>1260</v>
      </c>
      <c r="U14" s="2">
        <f t="shared" si="1"/>
        <v>2307</v>
      </c>
    </row>
    <row r="15" spans="1:21" x14ac:dyDescent="0.35">
      <c r="A15" s="3" t="s">
        <v>45</v>
      </c>
      <c r="B15" s="1">
        <v>44536</v>
      </c>
      <c r="C15">
        <v>6</v>
      </c>
      <c r="D15" t="s">
        <v>18</v>
      </c>
      <c r="E15">
        <v>2021</v>
      </c>
      <c r="F15">
        <v>27</v>
      </c>
      <c r="G15" s="4" t="s">
        <v>28</v>
      </c>
      <c r="H15" t="s">
        <v>144</v>
      </c>
      <c r="I15" t="s">
        <v>46</v>
      </c>
      <c r="J15" s="9" t="s">
        <v>47</v>
      </c>
      <c r="K15" s="7" t="s">
        <v>22</v>
      </c>
      <c r="L15" s="7" t="s">
        <v>23</v>
      </c>
      <c r="M15" s="11" t="s">
        <v>135</v>
      </c>
      <c r="N15" s="11" t="s">
        <v>136</v>
      </c>
      <c r="O15" s="11">
        <v>46</v>
      </c>
      <c r="P15">
        <v>1</v>
      </c>
      <c r="Q15" s="2">
        <v>1252</v>
      </c>
      <c r="R15" s="2">
        <v>2295</v>
      </c>
      <c r="S15" s="2">
        <v>1043</v>
      </c>
      <c r="T15" s="2">
        <f t="shared" si="0"/>
        <v>1252</v>
      </c>
      <c r="U15" s="2">
        <f t="shared" si="1"/>
        <v>2295</v>
      </c>
    </row>
    <row r="16" spans="1:21" x14ac:dyDescent="0.35">
      <c r="A16" s="3" t="s">
        <v>48</v>
      </c>
      <c r="B16" s="1">
        <v>44536</v>
      </c>
      <c r="C16">
        <v>6</v>
      </c>
      <c r="D16" t="s">
        <v>18</v>
      </c>
      <c r="E16">
        <v>2021</v>
      </c>
      <c r="F16">
        <v>36</v>
      </c>
      <c r="G16" s="4" t="s">
        <v>33</v>
      </c>
      <c r="H16" t="s">
        <v>144</v>
      </c>
      <c r="I16" t="s">
        <v>29</v>
      </c>
      <c r="J16" s="9" t="s">
        <v>30</v>
      </c>
      <c r="K16" s="7" t="s">
        <v>22</v>
      </c>
      <c r="L16" s="7" t="s">
        <v>23</v>
      </c>
      <c r="M16" s="11" t="s">
        <v>135</v>
      </c>
      <c r="N16" s="11" t="s">
        <v>136</v>
      </c>
      <c r="O16" s="11">
        <v>42</v>
      </c>
      <c r="P16">
        <v>1</v>
      </c>
      <c r="Q16" s="2">
        <v>1252</v>
      </c>
      <c r="R16" s="2">
        <v>2295</v>
      </c>
      <c r="S16" s="2">
        <v>1043</v>
      </c>
      <c r="T16" s="2">
        <f t="shared" si="0"/>
        <v>1252</v>
      </c>
      <c r="U16" s="2">
        <f t="shared" si="1"/>
        <v>2295</v>
      </c>
    </row>
    <row r="17" spans="1:21" x14ac:dyDescent="0.35">
      <c r="A17" s="3" t="s">
        <v>49</v>
      </c>
      <c r="B17" s="1">
        <v>44536</v>
      </c>
      <c r="C17">
        <v>6</v>
      </c>
      <c r="D17" t="s">
        <v>18</v>
      </c>
      <c r="E17">
        <v>2021</v>
      </c>
      <c r="F17">
        <v>47</v>
      </c>
      <c r="G17" s="4" t="s">
        <v>19</v>
      </c>
      <c r="H17" t="s">
        <v>144</v>
      </c>
      <c r="I17" t="s">
        <v>24</v>
      </c>
      <c r="J17" s="9" t="s">
        <v>25</v>
      </c>
      <c r="K17" s="7" t="s">
        <v>22</v>
      </c>
      <c r="L17" s="7" t="s">
        <v>23</v>
      </c>
      <c r="M17" s="11" t="s">
        <v>135</v>
      </c>
      <c r="N17" s="11" t="s">
        <v>137</v>
      </c>
      <c r="O17" s="11">
        <v>38</v>
      </c>
      <c r="P17">
        <v>1</v>
      </c>
      <c r="Q17" s="2">
        <v>1266</v>
      </c>
      <c r="R17" s="2">
        <v>2320</v>
      </c>
      <c r="S17" s="2">
        <v>1054</v>
      </c>
      <c r="T17" s="2">
        <f t="shared" si="0"/>
        <v>1266</v>
      </c>
      <c r="U17" s="2">
        <f t="shared" si="1"/>
        <v>2320</v>
      </c>
    </row>
    <row r="18" spans="1:21" x14ac:dyDescent="0.35">
      <c r="A18" s="3" t="s">
        <v>50</v>
      </c>
      <c r="B18" s="1">
        <v>44537</v>
      </c>
      <c r="C18">
        <v>7</v>
      </c>
      <c r="D18" t="s">
        <v>18</v>
      </c>
      <c r="E18">
        <v>2021</v>
      </c>
      <c r="F18">
        <v>30</v>
      </c>
      <c r="G18" s="4" t="s">
        <v>28</v>
      </c>
      <c r="H18" t="s">
        <v>144</v>
      </c>
      <c r="I18" t="s">
        <v>20</v>
      </c>
      <c r="J18" s="9" t="s">
        <v>21</v>
      </c>
      <c r="K18" s="7" t="s">
        <v>22</v>
      </c>
      <c r="L18" s="7" t="s">
        <v>23</v>
      </c>
      <c r="M18" s="11" t="s">
        <v>138</v>
      </c>
      <c r="N18" s="11" t="s">
        <v>137</v>
      </c>
      <c r="O18" s="11">
        <v>38</v>
      </c>
      <c r="P18">
        <v>4</v>
      </c>
      <c r="Q18" s="2">
        <v>420</v>
      </c>
      <c r="R18" s="2">
        <v>769</v>
      </c>
      <c r="S18" s="2">
        <v>1396</v>
      </c>
      <c r="T18" s="2">
        <f t="shared" si="0"/>
        <v>1680</v>
      </c>
      <c r="U18" s="2">
        <f t="shared" si="1"/>
        <v>3076</v>
      </c>
    </row>
    <row r="19" spans="1:21" x14ac:dyDescent="0.35">
      <c r="A19" s="3" t="s">
        <v>51</v>
      </c>
      <c r="B19" s="1">
        <v>44537</v>
      </c>
      <c r="C19">
        <v>7</v>
      </c>
      <c r="D19" t="s">
        <v>18</v>
      </c>
      <c r="E19">
        <v>2021</v>
      </c>
      <c r="F19">
        <v>38</v>
      </c>
      <c r="G19" s="4" t="s">
        <v>19</v>
      </c>
      <c r="H19" t="s">
        <v>144</v>
      </c>
      <c r="I19" t="s">
        <v>20</v>
      </c>
      <c r="J19" s="9" t="s">
        <v>21</v>
      </c>
      <c r="K19" s="7" t="s">
        <v>22</v>
      </c>
      <c r="L19" s="7" t="s">
        <v>23</v>
      </c>
      <c r="M19" s="11" t="s">
        <v>135</v>
      </c>
      <c r="N19" s="11" t="s">
        <v>137</v>
      </c>
      <c r="O19" s="11">
        <v>42</v>
      </c>
      <c r="P19">
        <v>2</v>
      </c>
      <c r="Q19" s="2">
        <v>1266</v>
      </c>
      <c r="R19" s="2">
        <v>2320</v>
      </c>
      <c r="S19" s="2">
        <v>2108</v>
      </c>
      <c r="T19" s="2">
        <f t="shared" si="0"/>
        <v>2532</v>
      </c>
      <c r="U19" s="2">
        <f t="shared" si="1"/>
        <v>4640</v>
      </c>
    </row>
    <row r="20" spans="1:21" x14ac:dyDescent="0.35">
      <c r="A20" s="3" t="s">
        <v>52</v>
      </c>
      <c r="B20" s="1">
        <v>44538</v>
      </c>
      <c r="C20">
        <v>8</v>
      </c>
      <c r="D20" t="s">
        <v>18</v>
      </c>
      <c r="E20">
        <v>2021</v>
      </c>
      <c r="F20">
        <v>19</v>
      </c>
      <c r="G20" s="4" t="s">
        <v>33</v>
      </c>
      <c r="H20" t="s">
        <v>145</v>
      </c>
      <c r="I20" t="s">
        <v>29</v>
      </c>
      <c r="J20" s="9" t="s">
        <v>30</v>
      </c>
      <c r="K20" s="7" t="s">
        <v>22</v>
      </c>
      <c r="L20" s="7" t="s">
        <v>23</v>
      </c>
      <c r="M20" s="11" t="s">
        <v>139</v>
      </c>
      <c r="N20" s="11" t="s">
        <v>137</v>
      </c>
      <c r="O20" s="11">
        <v>42</v>
      </c>
      <c r="P20">
        <v>4</v>
      </c>
      <c r="Q20" s="2">
        <v>308</v>
      </c>
      <c r="R20" s="2">
        <v>565</v>
      </c>
      <c r="S20" s="2">
        <v>1028</v>
      </c>
      <c r="T20" s="2">
        <f t="shared" si="0"/>
        <v>1232</v>
      </c>
      <c r="U20" s="2">
        <f t="shared" si="1"/>
        <v>2260</v>
      </c>
    </row>
    <row r="21" spans="1:21" x14ac:dyDescent="0.35">
      <c r="A21" s="3" t="s">
        <v>53</v>
      </c>
      <c r="B21" s="1">
        <v>44538</v>
      </c>
      <c r="C21">
        <v>8</v>
      </c>
      <c r="D21" t="s">
        <v>18</v>
      </c>
      <c r="E21">
        <v>2021</v>
      </c>
      <c r="F21">
        <v>30</v>
      </c>
      <c r="G21" s="4" t="s">
        <v>28</v>
      </c>
      <c r="H21" t="s">
        <v>145</v>
      </c>
      <c r="I21" t="s">
        <v>46</v>
      </c>
      <c r="J21" s="9" t="s">
        <v>47</v>
      </c>
      <c r="K21" s="7" t="s">
        <v>22</v>
      </c>
      <c r="L21" s="7" t="s">
        <v>23</v>
      </c>
      <c r="M21" s="11" t="s">
        <v>135</v>
      </c>
      <c r="N21" s="11" t="s">
        <v>137</v>
      </c>
      <c r="O21" s="11">
        <v>38</v>
      </c>
      <c r="P21">
        <v>4</v>
      </c>
      <c r="Q21" s="2">
        <v>1266</v>
      </c>
      <c r="R21" s="2">
        <v>2320</v>
      </c>
      <c r="S21" s="2">
        <v>4216</v>
      </c>
      <c r="T21" s="2">
        <f t="shared" si="0"/>
        <v>5064</v>
      </c>
      <c r="U21" s="2">
        <f t="shared" si="1"/>
        <v>9280</v>
      </c>
    </row>
    <row r="22" spans="1:21" x14ac:dyDescent="0.35">
      <c r="A22" s="3" t="s">
        <v>54</v>
      </c>
      <c r="B22" s="1">
        <v>44538</v>
      </c>
      <c r="C22">
        <v>8</v>
      </c>
      <c r="D22" t="s">
        <v>18</v>
      </c>
      <c r="E22">
        <v>2021</v>
      </c>
      <c r="F22">
        <v>39</v>
      </c>
      <c r="G22" s="4" t="s">
        <v>19</v>
      </c>
      <c r="H22" t="s">
        <v>145</v>
      </c>
      <c r="I22" t="s">
        <v>20</v>
      </c>
      <c r="J22" s="9" t="s">
        <v>55</v>
      </c>
      <c r="K22" s="7" t="s">
        <v>22</v>
      </c>
      <c r="L22" s="7" t="s">
        <v>23</v>
      </c>
      <c r="M22" s="11" t="s">
        <v>135</v>
      </c>
      <c r="N22" s="11" t="s">
        <v>136</v>
      </c>
      <c r="O22" s="11">
        <v>42</v>
      </c>
      <c r="P22">
        <v>2</v>
      </c>
      <c r="Q22" s="2">
        <v>1252</v>
      </c>
      <c r="R22" s="2">
        <v>2295</v>
      </c>
      <c r="S22" s="2">
        <v>2086</v>
      </c>
      <c r="T22" s="2">
        <f t="shared" si="0"/>
        <v>2504</v>
      </c>
      <c r="U22" s="2">
        <f t="shared" si="1"/>
        <v>4590</v>
      </c>
    </row>
    <row r="23" spans="1:21" x14ac:dyDescent="0.35">
      <c r="A23" s="3" t="s">
        <v>56</v>
      </c>
      <c r="B23" s="1">
        <v>44538</v>
      </c>
      <c r="C23">
        <v>8</v>
      </c>
      <c r="D23" t="s">
        <v>18</v>
      </c>
      <c r="E23">
        <v>2021</v>
      </c>
      <c r="F23">
        <v>35</v>
      </c>
      <c r="G23" s="4" t="s">
        <v>19</v>
      </c>
      <c r="H23" t="s">
        <v>145</v>
      </c>
      <c r="I23" t="s">
        <v>20</v>
      </c>
      <c r="J23" s="9" t="s">
        <v>21</v>
      </c>
      <c r="K23" s="7" t="s">
        <v>22</v>
      </c>
      <c r="L23" s="7" t="s">
        <v>23</v>
      </c>
      <c r="M23" s="11" t="s">
        <v>139</v>
      </c>
      <c r="N23" s="11" t="s">
        <v>136</v>
      </c>
      <c r="O23" s="11">
        <v>42</v>
      </c>
      <c r="P23">
        <v>4</v>
      </c>
      <c r="Q23" s="2">
        <v>295</v>
      </c>
      <c r="R23" s="2">
        <v>540</v>
      </c>
      <c r="S23" s="2">
        <v>245</v>
      </c>
      <c r="T23" s="2">
        <f t="shared" si="0"/>
        <v>1180</v>
      </c>
      <c r="U23" s="2">
        <f t="shared" si="1"/>
        <v>2160</v>
      </c>
    </row>
    <row r="24" spans="1:21" x14ac:dyDescent="0.35">
      <c r="A24" s="3" t="s">
        <v>57</v>
      </c>
      <c r="B24" s="1">
        <v>44539</v>
      </c>
      <c r="C24">
        <v>9</v>
      </c>
      <c r="D24" t="s">
        <v>18</v>
      </c>
      <c r="E24">
        <v>2021</v>
      </c>
      <c r="F24">
        <v>33</v>
      </c>
      <c r="G24" s="4" t="s">
        <v>28</v>
      </c>
      <c r="H24" t="s">
        <v>145</v>
      </c>
      <c r="I24" t="s">
        <v>29</v>
      </c>
      <c r="J24" s="9" t="s">
        <v>58</v>
      </c>
      <c r="K24" s="7" t="s">
        <v>22</v>
      </c>
      <c r="L24" s="7" t="s">
        <v>23</v>
      </c>
      <c r="M24" s="11" t="s">
        <v>140</v>
      </c>
      <c r="N24" s="11" t="s">
        <v>136</v>
      </c>
      <c r="O24" s="11">
        <v>38</v>
      </c>
      <c r="P24">
        <v>2</v>
      </c>
      <c r="Q24" s="2">
        <v>1898</v>
      </c>
      <c r="R24" s="2">
        <v>3375</v>
      </c>
      <c r="S24" s="2">
        <v>2954</v>
      </c>
      <c r="T24" s="2">
        <f t="shared" si="0"/>
        <v>3796</v>
      </c>
      <c r="U24" s="2">
        <f t="shared" si="1"/>
        <v>6750</v>
      </c>
    </row>
    <row r="25" spans="1:21" x14ac:dyDescent="0.35">
      <c r="A25" s="3" t="s">
        <v>59</v>
      </c>
      <c r="B25" s="1">
        <v>44539</v>
      </c>
      <c r="C25">
        <v>9</v>
      </c>
      <c r="D25" t="s">
        <v>18</v>
      </c>
      <c r="E25">
        <v>2021</v>
      </c>
      <c r="F25">
        <v>41</v>
      </c>
      <c r="G25" s="4" t="s">
        <v>19</v>
      </c>
      <c r="H25" t="s">
        <v>145</v>
      </c>
      <c r="I25" t="s">
        <v>39</v>
      </c>
      <c r="J25" s="9" t="s">
        <v>60</v>
      </c>
      <c r="K25" s="7" t="s">
        <v>22</v>
      </c>
      <c r="L25" s="7" t="s">
        <v>23</v>
      </c>
      <c r="M25" s="11" t="s">
        <v>135</v>
      </c>
      <c r="N25" s="11" t="s">
        <v>137</v>
      </c>
      <c r="O25" s="11">
        <v>42</v>
      </c>
      <c r="P25">
        <v>1</v>
      </c>
      <c r="Q25" s="2">
        <v>1266</v>
      </c>
      <c r="R25" s="2">
        <v>2320</v>
      </c>
      <c r="S25" s="2">
        <v>1054</v>
      </c>
      <c r="T25" s="2">
        <f t="shared" si="0"/>
        <v>1266</v>
      </c>
      <c r="U25" s="2">
        <f t="shared" si="1"/>
        <v>2320</v>
      </c>
    </row>
    <row r="26" spans="1:21" x14ac:dyDescent="0.35">
      <c r="A26" s="3" t="s">
        <v>61</v>
      </c>
      <c r="B26" s="1">
        <v>44540</v>
      </c>
      <c r="C26">
        <v>10</v>
      </c>
      <c r="D26" t="s">
        <v>18</v>
      </c>
      <c r="E26">
        <v>2021</v>
      </c>
      <c r="F26">
        <v>34</v>
      </c>
      <c r="G26" s="4" t="s">
        <v>28</v>
      </c>
      <c r="H26" t="s">
        <v>145</v>
      </c>
      <c r="I26" t="s">
        <v>20</v>
      </c>
      <c r="J26" s="9" t="s">
        <v>21</v>
      </c>
      <c r="K26" s="7" t="s">
        <v>22</v>
      </c>
      <c r="L26" s="7" t="s">
        <v>23</v>
      </c>
      <c r="M26" s="11" t="s">
        <v>135</v>
      </c>
      <c r="N26" s="11" t="s">
        <v>136</v>
      </c>
      <c r="O26" s="11">
        <v>42</v>
      </c>
      <c r="P26">
        <v>2</v>
      </c>
      <c r="Q26" s="2">
        <v>1252</v>
      </c>
      <c r="R26" s="2">
        <v>2295</v>
      </c>
      <c r="S26" s="2">
        <v>2086</v>
      </c>
      <c r="T26" s="2">
        <f t="shared" si="0"/>
        <v>2504</v>
      </c>
      <c r="U26" s="2">
        <f t="shared" si="1"/>
        <v>4590</v>
      </c>
    </row>
    <row r="27" spans="1:21" x14ac:dyDescent="0.35">
      <c r="A27" s="3" t="s">
        <v>62</v>
      </c>
      <c r="B27" s="1">
        <v>44540</v>
      </c>
      <c r="C27">
        <v>10</v>
      </c>
      <c r="D27" t="s">
        <v>18</v>
      </c>
      <c r="E27">
        <v>2021</v>
      </c>
      <c r="F27">
        <v>40</v>
      </c>
      <c r="G27" s="4" t="s">
        <v>19</v>
      </c>
      <c r="H27" t="s">
        <v>144</v>
      </c>
      <c r="I27" t="s">
        <v>29</v>
      </c>
      <c r="J27" s="9" t="s">
        <v>30</v>
      </c>
      <c r="K27" s="7" t="s">
        <v>22</v>
      </c>
      <c r="L27" s="7" t="s">
        <v>23</v>
      </c>
      <c r="M27" s="11" t="s">
        <v>135</v>
      </c>
      <c r="N27" s="11" t="s">
        <v>136</v>
      </c>
      <c r="O27" s="11">
        <v>42</v>
      </c>
      <c r="P27">
        <v>2</v>
      </c>
      <c r="Q27" s="2">
        <v>1252</v>
      </c>
      <c r="R27" s="2">
        <v>2295</v>
      </c>
      <c r="S27" s="2">
        <v>2086</v>
      </c>
      <c r="T27" s="2">
        <f t="shared" si="0"/>
        <v>2504</v>
      </c>
      <c r="U27" s="2">
        <f t="shared" si="1"/>
        <v>4590</v>
      </c>
    </row>
    <row r="28" spans="1:21" x14ac:dyDescent="0.35">
      <c r="A28" s="3" t="s">
        <v>63</v>
      </c>
      <c r="B28" s="1">
        <v>44540</v>
      </c>
      <c r="C28">
        <v>10</v>
      </c>
      <c r="D28" t="s">
        <v>18</v>
      </c>
      <c r="E28">
        <v>2021</v>
      </c>
      <c r="F28">
        <v>26</v>
      </c>
      <c r="G28" s="4" t="s">
        <v>28</v>
      </c>
      <c r="H28" t="s">
        <v>144</v>
      </c>
      <c r="I28" t="s">
        <v>24</v>
      </c>
      <c r="J28" s="9" t="s">
        <v>25</v>
      </c>
      <c r="K28" s="7" t="s">
        <v>22</v>
      </c>
      <c r="L28" s="7" t="s">
        <v>23</v>
      </c>
      <c r="M28" s="11" t="s">
        <v>135</v>
      </c>
      <c r="N28" s="11" t="s">
        <v>136</v>
      </c>
      <c r="O28" s="11">
        <v>38</v>
      </c>
      <c r="P28">
        <v>1</v>
      </c>
      <c r="Q28" s="2">
        <v>1252</v>
      </c>
      <c r="R28" s="2">
        <v>2295</v>
      </c>
      <c r="S28" s="2">
        <v>1043</v>
      </c>
      <c r="T28" s="2">
        <f t="shared" si="0"/>
        <v>1252</v>
      </c>
      <c r="U28" s="2">
        <f t="shared" si="1"/>
        <v>2295</v>
      </c>
    </row>
    <row r="29" spans="1:21" x14ac:dyDescent="0.35">
      <c r="A29" s="3" t="s">
        <v>64</v>
      </c>
      <c r="B29" s="1">
        <v>44540</v>
      </c>
      <c r="C29">
        <v>10</v>
      </c>
      <c r="D29" t="s">
        <v>18</v>
      </c>
      <c r="E29">
        <v>2021</v>
      </c>
      <c r="F29">
        <v>34</v>
      </c>
      <c r="G29" s="4" t="s">
        <v>28</v>
      </c>
      <c r="H29" t="s">
        <v>144</v>
      </c>
      <c r="I29" t="s">
        <v>20</v>
      </c>
      <c r="J29" s="9" t="s">
        <v>21</v>
      </c>
      <c r="K29" s="7" t="s">
        <v>22</v>
      </c>
      <c r="L29" s="7" t="s">
        <v>23</v>
      </c>
      <c r="M29" s="11" t="s">
        <v>139</v>
      </c>
      <c r="N29" s="11" t="s">
        <v>136</v>
      </c>
      <c r="O29" s="11">
        <v>40</v>
      </c>
      <c r="P29">
        <v>1</v>
      </c>
      <c r="Q29" s="2">
        <v>295</v>
      </c>
      <c r="R29" s="2">
        <v>540</v>
      </c>
      <c r="S29" s="2">
        <v>245</v>
      </c>
      <c r="T29" s="2">
        <f t="shared" si="0"/>
        <v>295</v>
      </c>
      <c r="U29" s="2">
        <f t="shared" si="1"/>
        <v>540</v>
      </c>
    </row>
    <row r="30" spans="1:21" x14ac:dyDescent="0.35">
      <c r="A30" s="3" t="s">
        <v>65</v>
      </c>
      <c r="B30" s="1">
        <v>44540</v>
      </c>
      <c r="C30">
        <v>10</v>
      </c>
      <c r="D30" t="s">
        <v>18</v>
      </c>
      <c r="E30">
        <v>2021</v>
      </c>
      <c r="F30">
        <v>34</v>
      </c>
      <c r="G30" s="4" t="s">
        <v>28</v>
      </c>
      <c r="H30" t="s">
        <v>145</v>
      </c>
      <c r="I30" t="s">
        <v>20</v>
      </c>
      <c r="J30" s="9" t="s">
        <v>35</v>
      </c>
      <c r="K30" s="7" t="s">
        <v>22</v>
      </c>
      <c r="L30" s="7" t="s">
        <v>23</v>
      </c>
      <c r="M30" s="11" t="s">
        <v>140</v>
      </c>
      <c r="N30" s="11" t="s">
        <v>137</v>
      </c>
      <c r="O30" s="11">
        <v>44</v>
      </c>
      <c r="P30">
        <v>1</v>
      </c>
      <c r="Q30" s="2">
        <v>1912</v>
      </c>
      <c r="R30" s="2">
        <v>3400</v>
      </c>
      <c r="S30" s="2">
        <v>1488</v>
      </c>
      <c r="T30" s="2">
        <f t="shared" si="0"/>
        <v>1912</v>
      </c>
      <c r="U30" s="2">
        <f t="shared" si="1"/>
        <v>3400</v>
      </c>
    </row>
    <row r="31" spans="1:21" x14ac:dyDescent="0.35">
      <c r="A31" s="3" t="s">
        <v>66</v>
      </c>
      <c r="B31" s="1">
        <v>44540</v>
      </c>
      <c r="C31">
        <v>10</v>
      </c>
      <c r="D31" t="s">
        <v>18</v>
      </c>
      <c r="E31">
        <v>2021</v>
      </c>
      <c r="F31">
        <v>38</v>
      </c>
      <c r="G31" s="4" t="s">
        <v>19</v>
      </c>
      <c r="H31" t="s">
        <v>144</v>
      </c>
      <c r="I31" t="s">
        <v>29</v>
      </c>
      <c r="J31" s="9" t="s">
        <v>30</v>
      </c>
      <c r="K31" s="7" t="s">
        <v>22</v>
      </c>
      <c r="L31" s="7" t="s">
        <v>23</v>
      </c>
      <c r="M31" s="11" t="s">
        <v>135</v>
      </c>
      <c r="N31" s="11" t="s">
        <v>136</v>
      </c>
      <c r="O31" s="11">
        <v>38</v>
      </c>
      <c r="P31">
        <v>1</v>
      </c>
      <c r="Q31" s="2">
        <v>1252</v>
      </c>
      <c r="R31" s="2">
        <v>2295</v>
      </c>
      <c r="S31" s="2">
        <v>1043</v>
      </c>
      <c r="T31" s="2">
        <f t="shared" si="0"/>
        <v>1252</v>
      </c>
      <c r="U31" s="2">
        <f t="shared" si="1"/>
        <v>2295</v>
      </c>
    </row>
    <row r="32" spans="1:21" x14ac:dyDescent="0.35">
      <c r="A32" s="3" t="s">
        <v>67</v>
      </c>
      <c r="B32" s="1">
        <v>44541</v>
      </c>
      <c r="C32">
        <v>11</v>
      </c>
      <c r="D32" t="s">
        <v>18</v>
      </c>
      <c r="E32">
        <v>2021</v>
      </c>
      <c r="F32">
        <v>24</v>
      </c>
      <c r="G32" s="4" t="s">
        <v>33</v>
      </c>
      <c r="H32" t="s">
        <v>145</v>
      </c>
      <c r="I32" t="s">
        <v>68</v>
      </c>
      <c r="J32" s="9" t="s">
        <v>69</v>
      </c>
      <c r="K32" s="7" t="s">
        <v>22</v>
      </c>
      <c r="L32" s="7" t="s">
        <v>23</v>
      </c>
      <c r="M32" s="11" t="s">
        <v>135</v>
      </c>
      <c r="N32" s="11" t="s">
        <v>136</v>
      </c>
      <c r="O32" s="11">
        <v>38</v>
      </c>
      <c r="P32">
        <v>3</v>
      </c>
      <c r="Q32" s="2">
        <v>1252</v>
      </c>
      <c r="R32" s="2">
        <v>2295</v>
      </c>
      <c r="S32" s="2">
        <v>3129</v>
      </c>
      <c r="T32" s="2">
        <f t="shared" si="0"/>
        <v>3756</v>
      </c>
      <c r="U32" s="2">
        <f t="shared" si="1"/>
        <v>6885</v>
      </c>
    </row>
    <row r="33" spans="1:21" x14ac:dyDescent="0.35">
      <c r="A33" s="3" t="s">
        <v>70</v>
      </c>
      <c r="B33" s="1">
        <v>44541</v>
      </c>
      <c r="C33">
        <v>11</v>
      </c>
      <c r="D33" t="s">
        <v>18</v>
      </c>
      <c r="E33">
        <v>2021</v>
      </c>
      <c r="F33">
        <v>41</v>
      </c>
      <c r="G33" s="4" t="s">
        <v>19</v>
      </c>
      <c r="H33" t="s">
        <v>145</v>
      </c>
      <c r="I33" t="s">
        <v>29</v>
      </c>
      <c r="J33" s="9" t="s">
        <v>30</v>
      </c>
      <c r="K33" s="7" t="s">
        <v>22</v>
      </c>
      <c r="L33" s="7" t="s">
        <v>23</v>
      </c>
      <c r="M33" s="11" t="s">
        <v>138</v>
      </c>
      <c r="N33" s="11" t="s">
        <v>137</v>
      </c>
      <c r="O33" s="11">
        <v>38</v>
      </c>
      <c r="P33">
        <v>2</v>
      </c>
      <c r="Q33" s="2">
        <v>420</v>
      </c>
      <c r="R33" s="2">
        <v>769</v>
      </c>
      <c r="S33" s="2">
        <v>698</v>
      </c>
      <c r="T33" s="2">
        <f t="shared" si="0"/>
        <v>840</v>
      </c>
      <c r="U33" s="2">
        <f t="shared" si="1"/>
        <v>1538</v>
      </c>
    </row>
    <row r="34" spans="1:21" x14ac:dyDescent="0.35">
      <c r="A34" s="3" t="s">
        <v>71</v>
      </c>
      <c r="B34" s="1">
        <v>44541</v>
      </c>
      <c r="C34">
        <v>11</v>
      </c>
      <c r="D34" t="s">
        <v>18</v>
      </c>
      <c r="E34">
        <v>2021</v>
      </c>
      <c r="F34">
        <v>27</v>
      </c>
      <c r="G34" s="4" t="s">
        <v>28</v>
      </c>
      <c r="H34" t="s">
        <v>144</v>
      </c>
      <c r="I34" t="s">
        <v>46</v>
      </c>
      <c r="J34" s="9" t="s">
        <v>47</v>
      </c>
      <c r="K34" s="7" t="s">
        <v>22</v>
      </c>
      <c r="L34" s="7" t="s">
        <v>23</v>
      </c>
      <c r="M34" s="11" t="s">
        <v>135</v>
      </c>
      <c r="N34" s="11" t="s">
        <v>136</v>
      </c>
      <c r="O34" s="11">
        <v>46</v>
      </c>
      <c r="P34">
        <v>1</v>
      </c>
      <c r="Q34" s="2">
        <v>1252</v>
      </c>
      <c r="R34" s="2">
        <v>2295</v>
      </c>
      <c r="S34" s="2">
        <v>1043</v>
      </c>
      <c r="T34" s="2">
        <f t="shared" si="0"/>
        <v>1252</v>
      </c>
      <c r="U34" s="2">
        <f t="shared" si="1"/>
        <v>2295</v>
      </c>
    </row>
    <row r="35" spans="1:21" x14ac:dyDescent="0.35">
      <c r="A35" s="3" t="s">
        <v>72</v>
      </c>
      <c r="B35" s="1">
        <v>44541</v>
      </c>
      <c r="C35">
        <v>11</v>
      </c>
      <c r="D35" t="s">
        <v>18</v>
      </c>
      <c r="E35">
        <v>2021</v>
      </c>
      <c r="F35">
        <v>37</v>
      </c>
      <c r="G35" s="4" t="s">
        <v>19</v>
      </c>
      <c r="H35" t="s">
        <v>144</v>
      </c>
      <c r="I35" t="s">
        <v>20</v>
      </c>
      <c r="J35" s="9" t="s">
        <v>21</v>
      </c>
      <c r="K35" s="7" t="s">
        <v>22</v>
      </c>
      <c r="L35" s="7" t="s">
        <v>23</v>
      </c>
      <c r="M35" s="11" t="s">
        <v>138</v>
      </c>
      <c r="N35" s="11" t="s">
        <v>137</v>
      </c>
      <c r="O35" s="11">
        <v>46</v>
      </c>
      <c r="P35">
        <v>1</v>
      </c>
      <c r="Q35" s="2">
        <v>420</v>
      </c>
      <c r="R35" s="2">
        <v>769</v>
      </c>
      <c r="S35" s="2">
        <v>349</v>
      </c>
      <c r="T35" s="2">
        <f t="shared" si="0"/>
        <v>420</v>
      </c>
      <c r="U35" s="2">
        <f t="shared" si="1"/>
        <v>769</v>
      </c>
    </row>
    <row r="36" spans="1:21" x14ac:dyDescent="0.35">
      <c r="A36" s="3" t="s">
        <v>73</v>
      </c>
      <c r="B36" s="1">
        <v>44541</v>
      </c>
      <c r="C36">
        <v>11</v>
      </c>
      <c r="D36" t="s">
        <v>18</v>
      </c>
      <c r="E36">
        <v>2021</v>
      </c>
      <c r="F36">
        <v>38</v>
      </c>
      <c r="G36" s="4" t="s">
        <v>19</v>
      </c>
      <c r="H36" t="s">
        <v>145</v>
      </c>
      <c r="I36" t="s">
        <v>20</v>
      </c>
      <c r="J36" s="9" t="s">
        <v>21</v>
      </c>
      <c r="K36" s="7" t="s">
        <v>22</v>
      </c>
      <c r="L36" s="7" t="s">
        <v>23</v>
      </c>
      <c r="M36" s="11" t="s">
        <v>135</v>
      </c>
      <c r="N36" s="11" t="s">
        <v>137</v>
      </c>
      <c r="O36" s="11">
        <v>38</v>
      </c>
      <c r="P36">
        <v>1</v>
      </c>
      <c r="Q36" s="2">
        <v>1266</v>
      </c>
      <c r="R36" s="2">
        <v>2320</v>
      </c>
      <c r="S36" s="2">
        <v>1054</v>
      </c>
      <c r="T36" s="2">
        <f t="shared" si="0"/>
        <v>1266</v>
      </c>
      <c r="U36" s="2">
        <f t="shared" si="1"/>
        <v>2320</v>
      </c>
    </row>
    <row r="37" spans="1:21" x14ac:dyDescent="0.35">
      <c r="A37" s="3" t="s">
        <v>74</v>
      </c>
      <c r="B37" s="1">
        <v>44542</v>
      </c>
      <c r="C37">
        <v>12</v>
      </c>
      <c r="D37" t="s">
        <v>18</v>
      </c>
      <c r="E37">
        <v>2021</v>
      </c>
      <c r="F37">
        <v>36</v>
      </c>
      <c r="G37" s="4" t="s">
        <v>19</v>
      </c>
      <c r="H37" t="s">
        <v>145</v>
      </c>
      <c r="I37" t="s">
        <v>29</v>
      </c>
      <c r="J37" s="9" t="s">
        <v>30</v>
      </c>
      <c r="K37" s="7" t="s">
        <v>22</v>
      </c>
      <c r="L37" s="7" t="s">
        <v>23</v>
      </c>
      <c r="M37" s="11" t="s">
        <v>135</v>
      </c>
      <c r="N37" s="11" t="s">
        <v>137</v>
      </c>
      <c r="O37" s="11">
        <v>42</v>
      </c>
      <c r="P37">
        <v>4</v>
      </c>
      <c r="Q37" s="2">
        <v>1266</v>
      </c>
      <c r="R37" s="2">
        <v>2320</v>
      </c>
      <c r="S37" s="2">
        <v>4216</v>
      </c>
      <c r="T37" s="2">
        <f t="shared" si="0"/>
        <v>5064</v>
      </c>
      <c r="U37" s="2">
        <f t="shared" si="1"/>
        <v>9280</v>
      </c>
    </row>
    <row r="38" spans="1:21" x14ac:dyDescent="0.35">
      <c r="A38" s="3" t="s">
        <v>75</v>
      </c>
      <c r="B38" s="1">
        <v>44542</v>
      </c>
      <c r="C38">
        <v>12</v>
      </c>
      <c r="D38" t="s">
        <v>18</v>
      </c>
      <c r="E38">
        <v>2021</v>
      </c>
      <c r="F38">
        <v>37</v>
      </c>
      <c r="G38" s="4" t="s">
        <v>19</v>
      </c>
      <c r="H38" t="s">
        <v>144</v>
      </c>
      <c r="I38" t="s">
        <v>20</v>
      </c>
      <c r="J38" s="9" t="s">
        <v>21</v>
      </c>
      <c r="K38" s="7" t="s">
        <v>22</v>
      </c>
      <c r="L38" s="7" t="s">
        <v>23</v>
      </c>
      <c r="M38" s="11" t="s">
        <v>138</v>
      </c>
      <c r="N38" s="11" t="s">
        <v>137</v>
      </c>
      <c r="O38" s="11">
        <v>46</v>
      </c>
      <c r="P38">
        <v>4</v>
      </c>
      <c r="Q38" s="2">
        <v>420</v>
      </c>
      <c r="R38" s="2">
        <v>769</v>
      </c>
      <c r="S38" s="2">
        <v>1396</v>
      </c>
      <c r="T38" s="2">
        <f t="shared" si="0"/>
        <v>1680</v>
      </c>
      <c r="U38" s="2">
        <f t="shared" si="1"/>
        <v>3076</v>
      </c>
    </row>
    <row r="39" spans="1:21" x14ac:dyDescent="0.35">
      <c r="A39" s="3" t="s">
        <v>76</v>
      </c>
      <c r="B39" s="1">
        <v>44542</v>
      </c>
      <c r="C39">
        <v>12</v>
      </c>
      <c r="D39" t="s">
        <v>18</v>
      </c>
      <c r="E39">
        <v>2021</v>
      </c>
      <c r="F39">
        <v>34</v>
      </c>
      <c r="G39" s="4" t="s">
        <v>28</v>
      </c>
      <c r="H39" t="s">
        <v>144</v>
      </c>
      <c r="I39" t="s">
        <v>29</v>
      </c>
      <c r="J39" s="9" t="s">
        <v>30</v>
      </c>
      <c r="K39" s="7" t="s">
        <v>22</v>
      </c>
      <c r="L39" s="7" t="s">
        <v>23</v>
      </c>
      <c r="M39" s="11" t="s">
        <v>135</v>
      </c>
      <c r="N39" s="11" t="s">
        <v>136</v>
      </c>
      <c r="O39" s="11">
        <v>38</v>
      </c>
      <c r="P39">
        <v>2</v>
      </c>
      <c r="Q39" s="2">
        <v>1252</v>
      </c>
      <c r="R39" s="2">
        <v>2295</v>
      </c>
      <c r="S39" s="2">
        <v>2086</v>
      </c>
      <c r="T39" s="2">
        <f t="shared" si="0"/>
        <v>2504</v>
      </c>
      <c r="U39" s="2">
        <f t="shared" si="1"/>
        <v>4590</v>
      </c>
    </row>
    <row r="40" spans="1:21" x14ac:dyDescent="0.35">
      <c r="A40" s="3" t="s">
        <v>77</v>
      </c>
      <c r="B40" s="1">
        <v>44542</v>
      </c>
      <c r="C40">
        <v>12</v>
      </c>
      <c r="D40" t="s">
        <v>18</v>
      </c>
      <c r="E40">
        <v>2021</v>
      </c>
      <c r="F40">
        <v>35</v>
      </c>
      <c r="G40" s="4" t="s">
        <v>19</v>
      </c>
      <c r="H40" t="s">
        <v>145</v>
      </c>
      <c r="I40" t="s">
        <v>29</v>
      </c>
      <c r="J40" s="9" t="s">
        <v>58</v>
      </c>
      <c r="K40" s="7" t="s">
        <v>22</v>
      </c>
      <c r="L40" s="7" t="s">
        <v>23</v>
      </c>
      <c r="M40" s="11" t="s">
        <v>135</v>
      </c>
      <c r="N40" s="11" t="s">
        <v>137</v>
      </c>
      <c r="O40" s="11">
        <v>42</v>
      </c>
      <c r="P40">
        <v>1</v>
      </c>
      <c r="Q40" s="2">
        <v>1266</v>
      </c>
      <c r="R40" s="2">
        <v>2320</v>
      </c>
      <c r="S40" s="2">
        <v>1054</v>
      </c>
      <c r="T40" s="2">
        <f t="shared" si="0"/>
        <v>1266</v>
      </c>
      <c r="U40" s="2">
        <f t="shared" si="1"/>
        <v>2320</v>
      </c>
    </row>
    <row r="41" spans="1:21" x14ac:dyDescent="0.35">
      <c r="A41" s="3" t="s">
        <v>78</v>
      </c>
      <c r="B41" s="1">
        <v>44542</v>
      </c>
      <c r="C41">
        <v>12</v>
      </c>
      <c r="D41" t="s">
        <v>18</v>
      </c>
      <c r="E41">
        <v>2021</v>
      </c>
      <c r="F41">
        <v>38</v>
      </c>
      <c r="G41" s="4" t="s">
        <v>19</v>
      </c>
      <c r="H41" t="s">
        <v>145</v>
      </c>
      <c r="I41" t="s">
        <v>20</v>
      </c>
      <c r="J41" s="9" t="s">
        <v>35</v>
      </c>
      <c r="K41" s="7" t="s">
        <v>22</v>
      </c>
      <c r="L41" s="7" t="s">
        <v>23</v>
      </c>
      <c r="M41" s="11" t="s">
        <v>135</v>
      </c>
      <c r="N41" s="11" t="s">
        <v>137</v>
      </c>
      <c r="O41" s="11">
        <v>42</v>
      </c>
      <c r="P41">
        <v>1</v>
      </c>
      <c r="Q41" s="2">
        <v>1266</v>
      </c>
      <c r="R41" s="2">
        <v>2320</v>
      </c>
      <c r="S41" s="2">
        <v>1054</v>
      </c>
      <c r="T41" s="2">
        <f t="shared" si="0"/>
        <v>1266</v>
      </c>
      <c r="U41" s="2">
        <f t="shared" si="1"/>
        <v>2320</v>
      </c>
    </row>
    <row r="42" spans="1:21" x14ac:dyDescent="0.35">
      <c r="A42" s="3" t="s">
        <v>79</v>
      </c>
      <c r="B42" s="1">
        <v>44543</v>
      </c>
      <c r="C42">
        <v>13</v>
      </c>
      <c r="D42" t="s">
        <v>18</v>
      </c>
      <c r="E42">
        <v>2021</v>
      </c>
      <c r="F42">
        <v>32</v>
      </c>
      <c r="G42" s="4" t="s">
        <v>28</v>
      </c>
      <c r="H42" t="s">
        <v>145</v>
      </c>
      <c r="I42" t="s">
        <v>29</v>
      </c>
      <c r="J42" s="9" t="s">
        <v>42</v>
      </c>
      <c r="K42" s="7" t="s">
        <v>22</v>
      </c>
      <c r="L42" s="7" t="s">
        <v>23</v>
      </c>
      <c r="M42" s="11" t="s">
        <v>135</v>
      </c>
      <c r="N42" s="11" t="s">
        <v>137</v>
      </c>
      <c r="O42" s="11">
        <v>42</v>
      </c>
      <c r="P42">
        <v>3</v>
      </c>
      <c r="Q42" s="2">
        <v>1266</v>
      </c>
      <c r="R42" s="2">
        <v>2320</v>
      </c>
      <c r="S42" s="2">
        <v>3162</v>
      </c>
      <c r="T42" s="2">
        <f t="shared" si="0"/>
        <v>3798</v>
      </c>
      <c r="U42" s="2">
        <f t="shared" si="1"/>
        <v>6960</v>
      </c>
    </row>
    <row r="43" spans="1:21" x14ac:dyDescent="0.35">
      <c r="A43" s="3" t="s">
        <v>80</v>
      </c>
      <c r="B43" s="1">
        <v>44543</v>
      </c>
      <c r="C43">
        <v>13</v>
      </c>
      <c r="D43" t="s">
        <v>18</v>
      </c>
      <c r="E43">
        <v>2021</v>
      </c>
      <c r="F43">
        <v>40</v>
      </c>
      <c r="G43" s="4" t="s">
        <v>19</v>
      </c>
      <c r="H43" t="s">
        <v>145</v>
      </c>
      <c r="I43" t="s">
        <v>20</v>
      </c>
      <c r="J43" s="9" t="s">
        <v>21</v>
      </c>
      <c r="K43" s="7" t="s">
        <v>22</v>
      </c>
      <c r="L43" s="7" t="s">
        <v>23</v>
      </c>
      <c r="M43" s="11" t="s">
        <v>139</v>
      </c>
      <c r="N43" s="11" t="s">
        <v>137</v>
      </c>
      <c r="O43" s="11">
        <v>40</v>
      </c>
      <c r="P43">
        <v>1</v>
      </c>
      <c r="Q43" s="2">
        <v>308</v>
      </c>
      <c r="R43" s="2">
        <v>565</v>
      </c>
      <c r="S43" s="2">
        <v>257</v>
      </c>
      <c r="T43" s="2">
        <f t="shared" si="0"/>
        <v>308</v>
      </c>
      <c r="U43" s="2">
        <f t="shared" si="1"/>
        <v>565</v>
      </c>
    </row>
    <row r="44" spans="1:21" x14ac:dyDescent="0.35">
      <c r="A44" s="3" t="s">
        <v>81</v>
      </c>
      <c r="B44" s="1">
        <v>44543</v>
      </c>
      <c r="C44">
        <v>13</v>
      </c>
      <c r="D44" t="s">
        <v>18</v>
      </c>
      <c r="E44">
        <v>2021</v>
      </c>
      <c r="F44">
        <v>44</v>
      </c>
      <c r="G44" s="4" t="s">
        <v>19</v>
      </c>
      <c r="H44" t="s">
        <v>145</v>
      </c>
      <c r="I44" t="s">
        <v>24</v>
      </c>
      <c r="J44" s="9" t="s">
        <v>25</v>
      </c>
      <c r="K44" s="7" t="s">
        <v>22</v>
      </c>
      <c r="L44" s="7" t="s">
        <v>23</v>
      </c>
      <c r="M44" s="11" t="s">
        <v>135</v>
      </c>
      <c r="N44" s="11" t="s">
        <v>136</v>
      </c>
      <c r="O44" s="11">
        <v>38</v>
      </c>
      <c r="P44">
        <v>1</v>
      </c>
      <c r="Q44" s="2">
        <v>1252</v>
      </c>
      <c r="R44" s="2">
        <v>2295</v>
      </c>
      <c r="S44" s="2">
        <v>1043</v>
      </c>
      <c r="T44" s="2">
        <f t="shared" si="0"/>
        <v>1252</v>
      </c>
      <c r="U44" s="2">
        <f t="shared" si="1"/>
        <v>2295</v>
      </c>
    </row>
    <row r="45" spans="1:21" x14ac:dyDescent="0.35">
      <c r="A45" s="3" t="s">
        <v>82</v>
      </c>
      <c r="B45" s="1">
        <v>44543</v>
      </c>
      <c r="C45">
        <v>13</v>
      </c>
      <c r="D45" t="s">
        <v>18</v>
      </c>
      <c r="E45">
        <v>2021</v>
      </c>
      <c r="F45">
        <v>49</v>
      </c>
      <c r="G45" s="4" t="s">
        <v>19</v>
      </c>
      <c r="H45" t="s">
        <v>144</v>
      </c>
      <c r="I45" t="s">
        <v>24</v>
      </c>
      <c r="J45" s="9" t="s">
        <v>25</v>
      </c>
      <c r="K45" s="7" t="s">
        <v>22</v>
      </c>
      <c r="L45" s="7" t="s">
        <v>23</v>
      </c>
      <c r="M45" s="11" t="s">
        <v>135</v>
      </c>
      <c r="N45" s="11" t="s">
        <v>136</v>
      </c>
      <c r="O45" s="11">
        <v>38</v>
      </c>
      <c r="P45">
        <v>1</v>
      </c>
      <c r="Q45" s="2">
        <v>1252</v>
      </c>
      <c r="R45" s="2">
        <v>2295</v>
      </c>
      <c r="S45" s="2">
        <v>1043</v>
      </c>
      <c r="T45" s="2">
        <f t="shared" si="0"/>
        <v>1252</v>
      </c>
      <c r="U45" s="2">
        <f t="shared" si="1"/>
        <v>2295</v>
      </c>
    </row>
    <row r="46" spans="1:21" x14ac:dyDescent="0.35">
      <c r="A46" s="3" t="s">
        <v>83</v>
      </c>
      <c r="B46" s="1">
        <v>44544</v>
      </c>
      <c r="C46">
        <v>14</v>
      </c>
      <c r="D46" t="s">
        <v>18</v>
      </c>
      <c r="E46">
        <v>2021</v>
      </c>
      <c r="F46">
        <v>30</v>
      </c>
      <c r="G46" s="4" t="s">
        <v>28</v>
      </c>
      <c r="H46" t="s">
        <v>145</v>
      </c>
      <c r="I46" t="s">
        <v>20</v>
      </c>
      <c r="J46" s="9" t="s">
        <v>35</v>
      </c>
      <c r="K46" s="7" t="s">
        <v>22</v>
      </c>
      <c r="L46" s="7" t="s">
        <v>23</v>
      </c>
      <c r="M46" s="11" t="s">
        <v>135</v>
      </c>
      <c r="N46" s="11" t="s">
        <v>137</v>
      </c>
      <c r="O46" s="11">
        <v>38</v>
      </c>
      <c r="P46">
        <v>2</v>
      </c>
      <c r="Q46" s="2">
        <v>1266</v>
      </c>
      <c r="R46" s="2">
        <v>2320</v>
      </c>
      <c r="S46" s="2">
        <v>2108</v>
      </c>
      <c r="T46" s="2">
        <f t="shared" si="0"/>
        <v>2532</v>
      </c>
      <c r="U46" s="2">
        <f t="shared" si="1"/>
        <v>4640</v>
      </c>
    </row>
    <row r="47" spans="1:21" x14ac:dyDescent="0.35">
      <c r="A47" s="3" t="s">
        <v>84</v>
      </c>
      <c r="B47" s="1">
        <v>44544</v>
      </c>
      <c r="C47">
        <v>14</v>
      </c>
      <c r="D47" t="s">
        <v>18</v>
      </c>
      <c r="E47">
        <v>2021</v>
      </c>
      <c r="F47">
        <v>32</v>
      </c>
      <c r="G47" s="4" t="s">
        <v>28</v>
      </c>
      <c r="H47" t="s">
        <v>144</v>
      </c>
      <c r="I47" t="s">
        <v>20</v>
      </c>
      <c r="J47" s="9" t="s">
        <v>21</v>
      </c>
      <c r="K47" s="7" t="s">
        <v>22</v>
      </c>
      <c r="L47" s="7" t="s">
        <v>23</v>
      </c>
      <c r="M47" s="11" t="s">
        <v>135</v>
      </c>
      <c r="N47" s="11" t="s">
        <v>136</v>
      </c>
      <c r="O47" s="11">
        <v>46</v>
      </c>
      <c r="P47">
        <v>1</v>
      </c>
      <c r="Q47" s="2">
        <v>1252</v>
      </c>
      <c r="R47" s="2">
        <v>2295</v>
      </c>
      <c r="S47" s="2">
        <v>1043</v>
      </c>
      <c r="T47" s="2">
        <f t="shared" si="0"/>
        <v>1252</v>
      </c>
      <c r="U47" s="2">
        <f t="shared" si="1"/>
        <v>2295</v>
      </c>
    </row>
    <row r="48" spans="1:21" x14ac:dyDescent="0.35">
      <c r="A48" s="3" t="s">
        <v>85</v>
      </c>
      <c r="B48" s="1">
        <v>44544</v>
      </c>
      <c r="C48">
        <v>14</v>
      </c>
      <c r="D48" t="s">
        <v>18</v>
      </c>
      <c r="E48">
        <v>2021</v>
      </c>
      <c r="F48">
        <v>32</v>
      </c>
      <c r="G48" s="4" t="s">
        <v>28</v>
      </c>
      <c r="H48" t="s">
        <v>145</v>
      </c>
      <c r="I48" t="s">
        <v>29</v>
      </c>
      <c r="J48" s="9" t="s">
        <v>58</v>
      </c>
      <c r="K48" s="7" t="s">
        <v>22</v>
      </c>
      <c r="L48" s="7" t="s">
        <v>23</v>
      </c>
      <c r="M48" s="11" t="s">
        <v>138</v>
      </c>
      <c r="N48" s="11" t="s">
        <v>137</v>
      </c>
      <c r="O48" s="11">
        <v>46</v>
      </c>
      <c r="P48">
        <v>1</v>
      </c>
      <c r="Q48" s="2">
        <v>420</v>
      </c>
      <c r="R48" s="2">
        <v>769</v>
      </c>
      <c r="S48" s="2">
        <v>349</v>
      </c>
      <c r="T48" s="2">
        <f t="shared" si="0"/>
        <v>420</v>
      </c>
      <c r="U48" s="2">
        <f t="shared" si="1"/>
        <v>769</v>
      </c>
    </row>
    <row r="49" spans="1:21" x14ac:dyDescent="0.35">
      <c r="A49" s="3" t="s">
        <v>86</v>
      </c>
      <c r="B49" s="1">
        <v>44545</v>
      </c>
      <c r="C49">
        <v>15</v>
      </c>
      <c r="D49" t="s">
        <v>18</v>
      </c>
      <c r="E49">
        <v>2021</v>
      </c>
      <c r="F49">
        <v>29</v>
      </c>
      <c r="G49" s="4" t="s">
        <v>28</v>
      </c>
      <c r="H49" t="s">
        <v>145</v>
      </c>
      <c r="I49" t="s">
        <v>20</v>
      </c>
      <c r="J49" s="9" t="s">
        <v>21</v>
      </c>
      <c r="K49" s="7" t="s">
        <v>22</v>
      </c>
      <c r="L49" s="7" t="s">
        <v>23</v>
      </c>
      <c r="M49" s="11" t="s">
        <v>135</v>
      </c>
      <c r="N49" s="11" t="s">
        <v>137</v>
      </c>
      <c r="O49" s="11">
        <v>42</v>
      </c>
      <c r="P49">
        <v>1</v>
      </c>
      <c r="Q49" s="2">
        <v>1266</v>
      </c>
      <c r="R49" s="2">
        <v>2320</v>
      </c>
      <c r="S49" s="2">
        <v>1054</v>
      </c>
      <c r="T49" s="2">
        <f t="shared" si="0"/>
        <v>1266</v>
      </c>
      <c r="U49" s="2">
        <f t="shared" si="1"/>
        <v>2320</v>
      </c>
    </row>
    <row r="50" spans="1:21" x14ac:dyDescent="0.35">
      <c r="A50" s="3" t="s">
        <v>87</v>
      </c>
      <c r="B50" s="1">
        <v>44546</v>
      </c>
      <c r="C50">
        <v>16</v>
      </c>
      <c r="D50" t="s">
        <v>18</v>
      </c>
      <c r="E50">
        <v>2021</v>
      </c>
      <c r="F50">
        <v>33</v>
      </c>
      <c r="G50" s="4" t="s">
        <v>28</v>
      </c>
      <c r="H50" t="s">
        <v>145</v>
      </c>
      <c r="I50" t="s">
        <v>29</v>
      </c>
      <c r="J50" s="9" t="s">
        <v>30</v>
      </c>
      <c r="K50" s="7" t="s">
        <v>22</v>
      </c>
      <c r="L50" s="7" t="s">
        <v>23</v>
      </c>
      <c r="M50" s="11" t="s">
        <v>135</v>
      </c>
      <c r="N50" s="11" t="s">
        <v>136</v>
      </c>
      <c r="O50" s="11">
        <v>38</v>
      </c>
      <c r="P50">
        <v>2</v>
      </c>
      <c r="Q50" s="2">
        <v>1252</v>
      </c>
      <c r="R50" s="2">
        <v>2295</v>
      </c>
      <c r="S50" s="2">
        <v>2086</v>
      </c>
      <c r="T50" s="2">
        <f t="shared" si="0"/>
        <v>2504</v>
      </c>
      <c r="U50" s="2">
        <f t="shared" si="1"/>
        <v>4590</v>
      </c>
    </row>
    <row r="51" spans="1:21" x14ac:dyDescent="0.35">
      <c r="A51" s="3" t="s">
        <v>88</v>
      </c>
      <c r="B51" s="1">
        <v>44546</v>
      </c>
      <c r="C51">
        <v>16</v>
      </c>
      <c r="D51" t="s">
        <v>18</v>
      </c>
      <c r="E51">
        <v>2021</v>
      </c>
      <c r="F51">
        <v>38</v>
      </c>
      <c r="G51" s="4" t="s">
        <v>19</v>
      </c>
      <c r="H51" t="s">
        <v>144</v>
      </c>
      <c r="I51" t="s">
        <v>29</v>
      </c>
      <c r="J51" s="9" t="s">
        <v>30</v>
      </c>
      <c r="K51" s="7" t="s">
        <v>22</v>
      </c>
      <c r="L51" s="7" t="s">
        <v>23</v>
      </c>
      <c r="M51" s="11" t="s">
        <v>135</v>
      </c>
      <c r="N51" s="11" t="s">
        <v>136</v>
      </c>
      <c r="O51" s="11">
        <v>38</v>
      </c>
      <c r="P51">
        <v>2</v>
      </c>
      <c r="Q51" s="2">
        <v>1252</v>
      </c>
      <c r="R51" s="2">
        <v>2295</v>
      </c>
      <c r="S51" s="2">
        <v>2086</v>
      </c>
      <c r="T51" s="2">
        <f t="shared" si="0"/>
        <v>2504</v>
      </c>
      <c r="U51" s="2">
        <f t="shared" si="1"/>
        <v>4590</v>
      </c>
    </row>
    <row r="52" spans="1:21" x14ac:dyDescent="0.35">
      <c r="A52" s="3" t="s">
        <v>89</v>
      </c>
      <c r="B52" s="1">
        <v>44546</v>
      </c>
      <c r="C52">
        <v>16</v>
      </c>
      <c r="D52" t="s">
        <v>18</v>
      </c>
      <c r="E52">
        <v>2021</v>
      </c>
      <c r="F52">
        <v>27</v>
      </c>
      <c r="G52" s="4" t="s">
        <v>28</v>
      </c>
      <c r="H52" t="s">
        <v>145</v>
      </c>
      <c r="I52" t="s">
        <v>68</v>
      </c>
      <c r="J52" s="9" t="s">
        <v>90</v>
      </c>
      <c r="K52" s="7" t="s">
        <v>22</v>
      </c>
      <c r="L52" s="7" t="s">
        <v>23</v>
      </c>
      <c r="M52" s="11" t="s">
        <v>135</v>
      </c>
      <c r="N52" s="11" t="s">
        <v>137</v>
      </c>
      <c r="O52" s="11">
        <v>46</v>
      </c>
      <c r="P52">
        <v>1</v>
      </c>
      <c r="Q52" s="2">
        <v>1266</v>
      </c>
      <c r="R52" s="2">
        <v>2320</v>
      </c>
      <c r="S52" s="2">
        <v>1054</v>
      </c>
      <c r="T52" s="2">
        <f t="shared" si="0"/>
        <v>1266</v>
      </c>
      <c r="U52" s="2">
        <f t="shared" si="1"/>
        <v>2320</v>
      </c>
    </row>
    <row r="53" spans="1:21" x14ac:dyDescent="0.35">
      <c r="A53" s="3" t="s">
        <v>91</v>
      </c>
      <c r="B53" s="1">
        <v>44547</v>
      </c>
      <c r="C53">
        <v>17</v>
      </c>
      <c r="D53" t="s">
        <v>18</v>
      </c>
      <c r="E53">
        <v>2021</v>
      </c>
      <c r="F53">
        <v>37</v>
      </c>
      <c r="G53" s="4" t="s">
        <v>19</v>
      </c>
      <c r="H53" t="s">
        <v>145</v>
      </c>
      <c r="I53" t="s">
        <v>20</v>
      </c>
      <c r="J53" s="9" t="s">
        <v>35</v>
      </c>
      <c r="K53" s="7" t="s">
        <v>22</v>
      </c>
      <c r="L53" s="7" t="s">
        <v>23</v>
      </c>
      <c r="M53" s="11" t="s">
        <v>135</v>
      </c>
      <c r="N53" s="11" t="s">
        <v>137</v>
      </c>
      <c r="O53" s="11">
        <v>38</v>
      </c>
      <c r="P53">
        <v>2</v>
      </c>
      <c r="Q53" s="2">
        <v>1266</v>
      </c>
      <c r="R53" s="2">
        <v>2320</v>
      </c>
      <c r="S53" s="2">
        <v>2108</v>
      </c>
      <c r="T53" s="2">
        <f t="shared" si="0"/>
        <v>2532</v>
      </c>
      <c r="U53" s="2">
        <f t="shared" si="1"/>
        <v>4640</v>
      </c>
    </row>
    <row r="54" spans="1:21" x14ac:dyDescent="0.35">
      <c r="A54" s="3" t="s">
        <v>92</v>
      </c>
      <c r="B54" s="1">
        <v>44547</v>
      </c>
      <c r="C54">
        <v>17</v>
      </c>
      <c r="D54" t="s">
        <v>18</v>
      </c>
      <c r="E54">
        <v>2021</v>
      </c>
      <c r="F54">
        <v>31</v>
      </c>
      <c r="G54" s="4" t="s">
        <v>28</v>
      </c>
      <c r="H54" t="s">
        <v>144</v>
      </c>
      <c r="I54" t="s">
        <v>29</v>
      </c>
      <c r="J54" s="9" t="s">
        <v>30</v>
      </c>
      <c r="K54" s="7" t="s">
        <v>22</v>
      </c>
      <c r="L54" s="7" t="s">
        <v>23</v>
      </c>
      <c r="M54" s="11" t="s">
        <v>138</v>
      </c>
      <c r="N54" s="11" t="s">
        <v>137</v>
      </c>
      <c r="O54" s="11">
        <v>42</v>
      </c>
      <c r="P54">
        <v>1</v>
      </c>
      <c r="Q54" s="2">
        <v>420</v>
      </c>
      <c r="R54" s="2">
        <v>769</v>
      </c>
      <c r="S54" s="2">
        <v>349</v>
      </c>
      <c r="T54" s="2">
        <f t="shared" si="0"/>
        <v>420</v>
      </c>
      <c r="U54" s="2">
        <f t="shared" si="1"/>
        <v>769</v>
      </c>
    </row>
    <row r="55" spans="1:21" x14ac:dyDescent="0.35">
      <c r="A55" s="3" t="s">
        <v>93</v>
      </c>
      <c r="B55" s="1">
        <v>44547</v>
      </c>
      <c r="C55">
        <v>17</v>
      </c>
      <c r="D55" t="s">
        <v>18</v>
      </c>
      <c r="E55">
        <v>2021</v>
      </c>
      <c r="F55">
        <v>42</v>
      </c>
      <c r="G55" s="4" t="s">
        <v>19</v>
      </c>
      <c r="H55" t="s">
        <v>145</v>
      </c>
      <c r="I55" t="s">
        <v>39</v>
      </c>
      <c r="J55" s="9" t="s">
        <v>40</v>
      </c>
      <c r="K55" s="7" t="s">
        <v>22</v>
      </c>
      <c r="L55" s="7" t="s">
        <v>23</v>
      </c>
      <c r="M55" s="11" t="s">
        <v>135</v>
      </c>
      <c r="N55" s="11" t="s">
        <v>137</v>
      </c>
      <c r="O55" s="11">
        <v>46</v>
      </c>
      <c r="P55">
        <v>1</v>
      </c>
      <c r="Q55" s="2">
        <v>1266</v>
      </c>
      <c r="R55" s="2">
        <v>2320</v>
      </c>
      <c r="S55" s="2">
        <v>1054</v>
      </c>
      <c r="T55" s="2">
        <f t="shared" si="0"/>
        <v>1266</v>
      </c>
      <c r="U55" s="2">
        <f t="shared" si="1"/>
        <v>2320</v>
      </c>
    </row>
    <row r="56" spans="1:21" x14ac:dyDescent="0.35">
      <c r="A56" s="3" t="s">
        <v>94</v>
      </c>
      <c r="B56" s="1">
        <v>44548</v>
      </c>
      <c r="C56">
        <v>18</v>
      </c>
      <c r="D56" t="s">
        <v>18</v>
      </c>
      <c r="E56">
        <v>2021</v>
      </c>
      <c r="F56">
        <v>35</v>
      </c>
      <c r="G56" s="4" t="s">
        <v>19</v>
      </c>
      <c r="H56" t="s">
        <v>145</v>
      </c>
      <c r="I56" t="s">
        <v>29</v>
      </c>
      <c r="J56" s="9" t="s">
        <v>30</v>
      </c>
      <c r="K56" s="7" t="s">
        <v>22</v>
      </c>
      <c r="L56" s="7" t="s">
        <v>23</v>
      </c>
      <c r="M56" s="11" t="s">
        <v>139</v>
      </c>
      <c r="N56" s="11" t="s">
        <v>137</v>
      </c>
      <c r="O56" s="11">
        <v>42</v>
      </c>
      <c r="P56">
        <v>4</v>
      </c>
      <c r="Q56" s="2">
        <v>308</v>
      </c>
      <c r="R56" s="2">
        <v>565</v>
      </c>
      <c r="S56" s="2">
        <v>1028</v>
      </c>
      <c r="T56" s="2">
        <f t="shared" si="0"/>
        <v>1232</v>
      </c>
      <c r="U56" s="2">
        <f t="shared" si="1"/>
        <v>2260</v>
      </c>
    </row>
    <row r="57" spans="1:21" x14ac:dyDescent="0.35">
      <c r="A57" s="3" t="s">
        <v>95</v>
      </c>
      <c r="B57" s="1">
        <v>44548</v>
      </c>
      <c r="C57">
        <v>18</v>
      </c>
      <c r="D57" t="s">
        <v>18</v>
      </c>
      <c r="E57">
        <v>2021</v>
      </c>
      <c r="F57">
        <v>38</v>
      </c>
      <c r="G57" s="4" t="s">
        <v>19</v>
      </c>
      <c r="H57" t="s">
        <v>145</v>
      </c>
      <c r="I57" t="s">
        <v>39</v>
      </c>
      <c r="J57" s="9" t="s">
        <v>40</v>
      </c>
      <c r="K57" s="7" t="s">
        <v>22</v>
      </c>
      <c r="L57" s="7" t="s">
        <v>23</v>
      </c>
      <c r="M57" s="11" t="s">
        <v>135</v>
      </c>
      <c r="N57" s="11" t="s">
        <v>137</v>
      </c>
      <c r="O57" s="11">
        <v>46</v>
      </c>
      <c r="P57">
        <v>4</v>
      </c>
      <c r="Q57" s="2">
        <v>1266</v>
      </c>
      <c r="R57" s="2">
        <v>2320</v>
      </c>
      <c r="S57" s="2">
        <v>4216</v>
      </c>
      <c r="T57" s="2">
        <f t="shared" si="0"/>
        <v>5064</v>
      </c>
      <c r="U57" s="2">
        <f t="shared" si="1"/>
        <v>9280</v>
      </c>
    </row>
    <row r="58" spans="1:21" x14ac:dyDescent="0.35">
      <c r="A58" s="3" t="s">
        <v>96</v>
      </c>
      <c r="B58" s="1">
        <v>44548</v>
      </c>
      <c r="C58">
        <v>18</v>
      </c>
      <c r="D58" t="s">
        <v>18</v>
      </c>
      <c r="E58">
        <v>2021</v>
      </c>
      <c r="F58">
        <v>24</v>
      </c>
      <c r="G58" s="4" t="s">
        <v>33</v>
      </c>
      <c r="H58" t="s">
        <v>145</v>
      </c>
      <c r="I58" t="s">
        <v>68</v>
      </c>
      <c r="J58" s="9" t="s">
        <v>97</v>
      </c>
      <c r="K58" s="7" t="s">
        <v>22</v>
      </c>
      <c r="L58" s="7" t="s">
        <v>23</v>
      </c>
      <c r="M58" s="11" t="s">
        <v>135</v>
      </c>
      <c r="N58" s="11" t="s">
        <v>137</v>
      </c>
      <c r="O58" s="11">
        <v>38</v>
      </c>
      <c r="P58">
        <v>3</v>
      </c>
      <c r="Q58" s="2">
        <v>1266</v>
      </c>
      <c r="R58" s="2">
        <v>2320</v>
      </c>
      <c r="S58" s="2">
        <v>3162</v>
      </c>
      <c r="T58" s="2">
        <f t="shared" si="0"/>
        <v>3798</v>
      </c>
      <c r="U58" s="2">
        <f t="shared" si="1"/>
        <v>6960</v>
      </c>
    </row>
    <row r="59" spans="1:21" x14ac:dyDescent="0.35">
      <c r="A59" s="3" t="s">
        <v>98</v>
      </c>
      <c r="B59" s="1">
        <v>44548</v>
      </c>
      <c r="C59">
        <v>18</v>
      </c>
      <c r="D59" t="s">
        <v>18</v>
      </c>
      <c r="E59">
        <v>2021</v>
      </c>
      <c r="F59">
        <v>26</v>
      </c>
      <c r="G59" s="4" t="s">
        <v>28</v>
      </c>
      <c r="H59" t="s">
        <v>145</v>
      </c>
      <c r="I59" t="s">
        <v>24</v>
      </c>
      <c r="J59" s="9" t="s">
        <v>25</v>
      </c>
      <c r="K59" s="7" t="s">
        <v>22</v>
      </c>
      <c r="L59" s="7" t="s">
        <v>23</v>
      </c>
      <c r="M59" s="11" t="s">
        <v>138</v>
      </c>
      <c r="N59" s="11" t="s">
        <v>137</v>
      </c>
      <c r="O59" s="11">
        <v>42</v>
      </c>
      <c r="P59">
        <v>3</v>
      </c>
      <c r="Q59" s="2">
        <v>420</v>
      </c>
      <c r="R59" s="2">
        <v>769</v>
      </c>
      <c r="S59" s="2">
        <v>1047</v>
      </c>
      <c r="T59" s="2">
        <f t="shared" si="0"/>
        <v>1260</v>
      </c>
      <c r="U59" s="2">
        <f t="shared" si="1"/>
        <v>2307</v>
      </c>
    </row>
    <row r="60" spans="1:21" x14ac:dyDescent="0.35">
      <c r="A60" s="3" t="s">
        <v>99</v>
      </c>
      <c r="B60" s="1">
        <v>44548</v>
      </c>
      <c r="C60">
        <v>18</v>
      </c>
      <c r="D60" t="s">
        <v>18</v>
      </c>
      <c r="E60">
        <v>2021</v>
      </c>
      <c r="F60">
        <v>39</v>
      </c>
      <c r="G60" s="4" t="s">
        <v>19</v>
      </c>
      <c r="H60" t="s">
        <v>144</v>
      </c>
      <c r="I60" t="s">
        <v>20</v>
      </c>
      <c r="J60" s="9" t="s">
        <v>21</v>
      </c>
      <c r="K60" s="7" t="s">
        <v>22</v>
      </c>
      <c r="L60" s="7" t="s">
        <v>23</v>
      </c>
      <c r="M60" s="11" t="s">
        <v>135</v>
      </c>
      <c r="N60" s="11" t="s">
        <v>136</v>
      </c>
      <c r="O60" s="11">
        <v>42</v>
      </c>
      <c r="P60">
        <v>3</v>
      </c>
      <c r="Q60" s="2">
        <v>1252</v>
      </c>
      <c r="R60" s="2">
        <v>2295</v>
      </c>
      <c r="S60" s="2">
        <v>3129</v>
      </c>
      <c r="T60" s="2">
        <f t="shared" si="0"/>
        <v>3756</v>
      </c>
      <c r="U60" s="2">
        <f t="shared" si="1"/>
        <v>6885</v>
      </c>
    </row>
    <row r="61" spans="1:21" x14ac:dyDescent="0.35">
      <c r="A61" s="3" t="s">
        <v>100</v>
      </c>
      <c r="B61" s="1">
        <v>44548</v>
      </c>
      <c r="C61">
        <v>18</v>
      </c>
      <c r="D61" t="s">
        <v>18</v>
      </c>
      <c r="E61">
        <v>2021</v>
      </c>
      <c r="F61">
        <v>26</v>
      </c>
      <c r="G61" s="4" t="s">
        <v>28</v>
      </c>
      <c r="H61" t="s">
        <v>144</v>
      </c>
      <c r="I61" t="s">
        <v>68</v>
      </c>
      <c r="J61" s="9" t="s">
        <v>69</v>
      </c>
      <c r="K61" s="7" t="s">
        <v>22</v>
      </c>
      <c r="L61" s="7" t="s">
        <v>23</v>
      </c>
      <c r="M61" s="11" t="s">
        <v>135</v>
      </c>
      <c r="N61" s="11" t="s">
        <v>136</v>
      </c>
      <c r="O61" s="11">
        <v>46</v>
      </c>
      <c r="P61">
        <v>1</v>
      </c>
      <c r="Q61" s="2">
        <v>1252</v>
      </c>
      <c r="R61" s="2">
        <v>2295</v>
      </c>
      <c r="S61" s="2">
        <v>1043</v>
      </c>
      <c r="T61" s="2">
        <f t="shared" si="0"/>
        <v>1252</v>
      </c>
      <c r="U61" s="2">
        <f t="shared" si="1"/>
        <v>2295</v>
      </c>
    </row>
    <row r="62" spans="1:21" x14ac:dyDescent="0.35">
      <c r="A62" s="3" t="s">
        <v>101</v>
      </c>
      <c r="B62" s="1">
        <v>44548</v>
      </c>
      <c r="C62">
        <v>18</v>
      </c>
      <c r="D62" t="s">
        <v>18</v>
      </c>
      <c r="E62">
        <v>2021</v>
      </c>
      <c r="F62">
        <v>36</v>
      </c>
      <c r="G62" s="4" t="s">
        <v>19</v>
      </c>
      <c r="H62" t="s">
        <v>144</v>
      </c>
      <c r="I62" t="s">
        <v>20</v>
      </c>
      <c r="J62" s="9" t="s">
        <v>35</v>
      </c>
      <c r="K62" s="7" t="s">
        <v>22</v>
      </c>
      <c r="L62" s="7" t="s">
        <v>23</v>
      </c>
      <c r="M62" s="11" t="s">
        <v>135</v>
      </c>
      <c r="N62" s="11" t="s">
        <v>137</v>
      </c>
      <c r="O62" s="11">
        <v>38</v>
      </c>
      <c r="P62">
        <v>1</v>
      </c>
      <c r="Q62" s="2">
        <v>1266</v>
      </c>
      <c r="R62" s="2">
        <v>2320</v>
      </c>
      <c r="S62" s="2">
        <v>1054</v>
      </c>
      <c r="T62" s="2">
        <f t="shared" si="0"/>
        <v>1266</v>
      </c>
      <c r="U62" s="2">
        <f t="shared" si="1"/>
        <v>2320</v>
      </c>
    </row>
    <row r="63" spans="1:21" x14ac:dyDescent="0.35">
      <c r="A63" s="3" t="s">
        <v>102</v>
      </c>
      <c r="B63" s="1">
        <v>44549</v>
      </c>
      <c r="C63">
        <v>19</v>
      </c>
      <c r="D63" t="s">
        <v>18</v>
      </c>
      <c r="E63">
        <v>2021</v>
      </c>
      <c r="F63">
        <v>17</v>
      </c>
      <c r="G63" s="4" t="s">
        <v>33</v>
      </c>
      <c r="H63" t="s">
        <v>144</v>
      </c>
      <c r="I63" t="s">
        <v>68</v>
      </c>
      <c r="J63" s="9" t="s">
        <v>103</v>
      </c>
      <c r="K63" s="7" t="s">
        <v>22</v>
      </c>
      <c r="L63" s="7" t="s">
        <v>23</v>
      </c>
      <c r="M63" s="11" t="s">
        <v>135</v>
      </c>
      <c r="N63" s="11" t="s">
        <v>137</v>
      </c>
      <c r="O63" s="11">
        <v>46</v>
      </c>
      <c r="P63">
        <v>4</v>
      </c>
      <c r="Q63" s="2">
        <v>1266</v>
      </c>
      <c r="R63" s="2">
        <v>2320</v>
      </c>
      <c r="S63" s="2">
        <v>4216</v>
      </c>
      <c r="T63" s="2">
        <f t="shared" si="0"/>
        <v>5064</v>
      </c>
      <c r="U63" s="2">
        <f t="shared" si="1"/>
        <v>9280</v>
      </c>
    </row>
    <row r="64" spans="1:21" x14ac:dyDescent="0.35">
      <c r="A64" s="3" t="s">
        <v>104</v>
      </c>
      <c r="B64" s="1">
        <v>44549</v>
      </c>
      <c r="C64">
        <v>19</v>
      </c>
      <c r="D64" t="s">
        <v>18</v>
      </c>
      <c r="E64">
        <v>2021</v>
      </c>
      <c r="F64">
        <v>19</v>
      </c>
      <c r="G64" s="4" t="s">
        <v>33</v>
      </c>
      <c r="H64" t="s">
        <v>145</v>
      </c>
      <c r="I64" t="s">
        <v>29</v>
      </c>
      <c r="J64" s="9" t="s">
        <v>58</v>
      </c>
      <c r="K64" s="7" t="s">
        <v>22</v>
      </c>
      <c r="L64" s="7" t="s">
        <v>23</v>
      </c>
      <c r="M64" s="11" t="s">
        <v>139</v>
      </c>
      <c r="N64" s="11" t="s">
        <v>136</v>
      </c>
      <c r="O64" s="11">
        <v>44</v>
      </c>
      <c r="P64">
        <v>4</v>
      </c>
      <c r="Q64" s="2">
        <v>295</v>
      </c>
      <c r="R64" s="2">
        <v>540</v>
      </c>
      <c r="S64" s="2">
        <v>980</v>
      </c>
      <c r="T64" s="2">
        <f t="shared" si="0"/>
        <v>1180</v>
      </c>
      <c r="U64" s="2">
        <f t="shared" si="1"/>
        <v>2160</v>
      </c>
    </row>
    <row r="65" spans="1:21" x14ac:dyDescent="0.35">
      <c r="A65" s="3" t="s">
        <v>105</v>
      </c>
      <c r="B65" s="1">
        <v>44549</v>
      </c>
      <c r="C65">
        <v>19</v>
      </c>
      <c r="D65" t="s">
        <v>18</v>
      </c>
      <c r="E65">
        <v>2021</v>
      </c>
      <c r="F65">
        <v>25</v>
      </c>
      <c r="G65" s="4" t="s">
        <v>28</v>
      </c>
      <c r="H65" t="s">
        <v>144</v>
      </c>
      <c r="I65" t="s">
        <v>68</v>
      </c>
      <c r="J65" s="9" t="s">
        <v>69</v>
      </c>
      <c r="K65" s="7" t="s">
        <v>22</v>
      </c>
      <c r="L65" s="7" t="s">
        <v>23</v>
      </c>
      <c r="M65" s="11" t="s">
        <v>135</v>
      </c>
      <c r="N65" s="11" t="s">
        <v>136</v>
      </c>
      <c r="O65" s="11">
        <v>38</v>
      </c>
      <c r="P65">
        <v>4</v>
      </c>
      <c r="Q65" s="2">
        <v>1252</v>
      </c>
      <c r="R65" s="2">
        <v>2295</v>
      </c>
      <c r="S65" s="2">
        <v>4172</v>
      </c>
      <c r="T65" s="2">
        <f t="shared" si="0"/>
        <v>5008</v>
      </c>
      <c r="U65" s="2">
        <f t="shared" si="1"/>
        <v>9180</v>
      </c>
    </row>
    <row r="66" spans="1:21" x14ac:dyDescent="0.35">
      <c r="A66" s="3" t="s">
        <v>106</v>
      </c>
      <c r="B66" s="1">
        <v>44549</v>
      </c>
      <c r="C66">
        <v>19</v>
      </c>
      <c r="D66" t="s">
        <v>18</v>
      </c>
      <c r="E66">
        <v>2021</v>
      </c>
      <c r="F66">
        <v>35</v>
      </c>
      <c r="G66" s="4" t="s">
        <v>19</v>
      </c>
      <c r="H66" t="s">
        <v>145</v>
      </c>
      <c r="I66" t="s">
        <v>20</v>
      </c>
      <c r="J66" s="9" t="s">
        <v>55</v>
      </c>
      <c r="K66" s="7" t="s">
        <v>22</v>
      </c>
      <c r="L66" s="7" t="s">
        <v>23</v>
      </c>
      <c r="M66" s="11" t="s">
        <v>140</v>
      </c>
      <c r="N66" s="11" t="s">
        <v>136</v>
      </c>
      <c r="O66" s="11">
        <v>48</v>
      </c>
      <c r="P66">
        <v>4</v>
      </c>
      <c r="Q66" s="2">
        <v>1898</v>
      </c>
      <c r="R66" s="2">
        <v>3375</v>
      </c>
      <c r="S66" s="2">
        <v>5908</v>
      </c>
      <c r="T66" s="2">
        <f t="shared" si="0"/>
        <v>7592</v>
      </c>
      <c r="U66" s="2">
        <f t="shared" si="1"/>
        <v>13500</v>
      </c>
    </row>
    <row r="67" spans="1:21" x14ac:dyDescent="0.35">
      <c r="A67" s="3" t="s">
        <v>107</v>
      </c>
      <c r="B67" s="1">
        <v>44549</v>
      </c>
      <c r="C67">
        <v>19</v>
      </c>
      <c r="D67" t="s">
        <v>18</v>
      </c>
      <c r="E67">
        <v>2021</v>
      </c>
      <c r="F67">
        <v>37</v>
      </c>
      <c r="G67" s="4" t="s">
        <v>19</v>
      </c>
      <c r="H67" t="s">
        <v>144</v>
      </c>
      <c r="I67" t="s">
        <v>20</v>
      </c>
      <c r="J67" s="9" t="s">
        <v>55</v>
      </c>
      <c r="K67" s="7" t="s">
        <v>22</v>
      </c>
      <c r="L67" s="7" t="s">
        <v>23</v>
      </c>
      <c r="M67" s="11" t="s">
        <v>135</v>
      </c>
      <c r="N67" s="11" t="s">
        <v>136</v>
      </c>
      <c r="O67" s="11">
        <v>38</v>
      </c>
      <c r="P67">
        <v>4</v>
      </c>
      <c r="Q67" s="2">
        <v>1252</v>
      </c>
      <c r="R67" s="2">
        <v>2295</v>
      </c>
      <c r="S67" s="2">
        <v>4172</v>
      </c>
      <c r="T67" s="2">
        <f t="shared" ref="T67:T89" si="2">P67*Q67</f>
        <v>5008</v>
      </c>
      <c r="U67" s="2">
        <f t="shared" ref="U67:U89" si="3">P67*R67</f>
        <v>9180</v>
      </c>
    </row>
    <row r="68" spans="1:21" x14ac:dyDescent="0.35">
      <c r="A68" s="3" t="s">
        <v>108</v>
      </c>
      <c r="B68" s="1">
        <v>44549</v>
      </c>
      <c r="C68">
        <v>19</v>
      </c>
      <c r="D68" t="s">
        <v>18</v>
      </c>
      <c r="E68">
        <v>2021</v>
      </c>
      <c r="F68">
        <v>39</v>
      </c>
      <c r="G68" s="4" t="s">
        <v>19</v>
      </c>
      <c r="H68" t="s">
        <v>145</v>
      </c>
      <c r="I68" t="s">
        <v>20</v>
      </c>
      <c r="J68" s="9" t="s">
        <v>21</v>
      </c>
      <c r="K68" s="7" t="s">
        <v>22</v>
      </c>
      <c r="L68" s="7" t="s">
        <v>23</v>
      </c>
      <c r="M68" s="11" t="s">
        <v>135</v>
      </c>
      <c r="N68" s="11" t="s">
        <v>136</v>
      </c>
      <c r="O68" s="11">
        <v>46</v>
      </c>
      <c r="P68">
        <v>4</v>
      </c>
      <c r="Q68" s="2">
        <v>1252</v>
      </c>
      <c r="R68" s="2">
        <v>2295</v>
      </c>
      <c r="S68" s="2">
        <v>4172</v>
      </c>
      <c r="T68" s="2">
        <f t="shared" si="2"/>
        <v>5008</v>
      </c>
      <c r="U68" s="2">
        <f t="shared" si="3"/>
        <v>9180</v>
      </c>
    </row>
    <row r="69" spans="1:21" x14ac:dyDescent="0.35">
      <c r="A69" s="3" t="s">
        <v>109</v>
      </c>
      <c r="B69" s="1">
        <v>44549</v>
      </c>
      <c r="C69">
        <v>19</v>
      </c>
      <c r="D69" t="s">
        <v>18</v>
      </c>
      <c r="E69">
        <v>2021</v>
      </c>
      <c r="F69">
        <v>63</v>
      </c>
      <c r="G69" s="4" t="s">
        <v>19</v>
      </c>
      <c r="H69" t="s">
        <v>145</v>
      </c>
      <c r="I69" t="s">
        <v>29</v>
      </c>
      <c r="J69" s="9" t="s">
        <v>42</v>
      </c>
      <c r="K69" s="7" t="s">
        <v>22</v>
      </c>
      <c r="L69" s="7" t="s">
        <v>23</v>
      </c>
      <c r="M69" s="11" t="s">
        <v>135</v>
      </c>
      <c r="N69" s="11" t="s">
        <v>136</v>
      </c>
      <c r="O69" s="11">
        <v>46</v>
      </c>
      <c r="P69">
        <v>4</v>
      </c>
      <c r="Q69" s="2">
        <v>1252</v>
      </c>
      <c r="R69" s="2">
        <v>2295</v>
      </c>
      <c r="S69" s="2">
        <v>4172</v>
      </c>
      <c r="T69" s="2">
        <f t="shared" si="2"/>
        <v>5008</v>
      </c>
      <c r="U69" s="2">
        <f t="shared" si="3"/>
        <v>9180</v>
      </c>
    </row>
    <row r="70" spans="1:21" x14ac:dyDescent="0.35">
      <c r="A70" s="3" t="s">
        <v>110</v>
      </c>
      <c r="B70" s="1">
        <v>44549</v>
      </c>
      <c r="C70">
        <v>19</v>
      </c>
      <c r="D70" t="s">
        <v>18</v>
      </c>
      <c r="E70">
        <v>2021</v>
      </c>
      <c r="F70">
        <v>18</v>
      </c>
      <c r="G70" s="4" t="s">
        <v>33</v>
      </c>
      <c r="H70" t="s">
        <v>144</v>
      </c>
      <c r="I70" t="s">
        <v>29</v>
      </c>
      <c r="J70" s="9" t="s">
        <v>111</v>
      </c>
      <c r="K70" s="7" t="s">
        <v>22</v>
      </c>
      <c r="L70" s="7" t="s">
        <v>23</v>
      </c>
      <c r="M70" s="11" t="s">
        <v>139</v>
      </c>
      <c r="N70" s="11" t="s">
        <v>136</v>
      </c>
      <c r="O70" s="11">
        <v>40</v>
      </c>
      <c r="P70">
        <v>2</v>
      </c>
      <c r="Q70" s="2">
        <v>295</v>
      </c>
      <c r="R70" s="2">
        <v>540</v>
      </c>
      <c r="S70" s="2">
        <v>490</v>
      </c>
      <c r="T70" s="2">
        <f t="shared" si="2"/>
        <v>590</v>
      </c>
      <c r="U70" s="2">
        <f t="shared" si="3"/>
        <v>1080</v>
      </c>
    </row>
    <row r="71" spans="1:21" x14ac:dyDescent="0.35">
      <c r="A71" s="3" t="s">
        <v>112</v>
      </c>
      <c r="B71" s="1">
        <v>44549</v>
      </c>
      <c r="C71">
        <v>19</v>
      </c>
      <c r="D71" t="s">
        <v>18</v>
      </c>
      <c r="E71">
        <v>2021</v>
      </c>
      <c r="F71">
        <v>56</v>
      </c>
      <c r="G71" s="4" t="s">
        <v>19</v>
      </c>
      <c r="H71" t="s">
        <v>145</v>
      </c>
      <c r="I71" t="s">
        <v>39</v>
      </c>
      <c r="J71" s="9" t="s">
        <v>113</v>
      </c>
      <c r="K71" s="7" t="s">
        <v>22</v>
      </c>
      <c r="L71" s="7" t="s">
        <v>23</v>
      </c>
      <c r="M71" s="11" t="s">
        <v>135</v>
      </c>
      <c r="N71" s="11" t="s">
        <v>136</v>
      </c>
      <c r="O71" s="11">
        <v>46</v>
      </c>
      <c r="P71">
        <v>2</v>
      </c>
      <c r="Q71" s="2">
        <v>1252</v>
      </c>
      <c r="R71" s="2">
        <v>2295</v>
      </c>
      <c r="S71" s="2">
        <v>2086</v>
      </c>
      <c r="T71" s="2">
        <f t="shared" si="2"/>
        <v>2504</v>
      </c>
      <c r="U71" s="2">
        <f t="shared" si="3"/>
        <v>4590</v>
      </c>
    </row>
    <row r="72" spans="1:21" x14ac:dyDescent="0.35">
      <c r="A72" s="3" t="s">
        <v>114</v>
      </c>
      <c r="B72" s="1">
        <v>44549</v>
      </c>
      <c r="C72">
        <v>19</v>
      </c>
      <c r="D72" t="s">
        <v>18</v>
      </c>
      <c r="E72">
        <v>2021</v>
      </c>
      <c r="F72">
        <v>39</v>
      </c>
      <c r="G72" s="4" t="s">
        <v>19</v>
      </c>
      <c r="H72" t="s">
        <v>145</v>
      </c>
      <c r="I72" t="s">
        <v>20</v>
      </c>
      <c r="J72" s="9" t="s">
        <v>35</v>
      </c>
      <c r="K72" s="7" t="s">
        <v>22</v>
      </c>
      <c r="L72" s="7" t="s">
        <v>23</v>
      </c>
      <c r="M72" s="11" t="s">
        <v>135</v>
      </c>
      <c r="N72" s="11" t="s">
        <v>137</v>
      </c>
      <c r="O72" s="11">
        <v>38</v>
      </c>
      <c r="P72">
        <v>1</v>
      </c>
      <c r="Q72" s="2">
        <v>1266</v>
      </c>
      <c r="R72" s="2">
        <v>2320</v>
      </c>
      <c r="S72" s="2">
        <v>1054</v>
      </c>
      <c r="T72" s="2">
        <f t="shared" si="2"/>
        <v>1266</v>
      </c>
      <c r="U72" s="2">
        <f t="shared" si="3"/>
        <v>2320</v>
      </c>
    </row>
    <row r="73" spans="1:21" x14ac:dyDescent="0.35">
      <c r="A73" s="3" t="s">
        <v>115</v>
      </c>
      <c r="B73" s="1">
        <v>44550</v>
      </c>
      <c r="C73">
        <v>20</v>
      </c>
      <c r="D73" t="s">
        <v>18</v>
      </c>
      <c r="E73">
        <v>2021</v>
      </c>
      <c r="F73">
        <v>33</v>
      </c>
      <c r="G73" s="4" t="s">
        <v>28</v>
      </c>
      <c r="H73" t="s">
        <v>145</v>
      </c>
      <c r="I73" t="s">
        <v>29</v>
      </c>
      <c r="J73" s="9" t="s">
        <v>58</v>
      </c>
      <c r="K73" s="7" t="s">
        <v>22</v>
      </c>
      <c r="L73" s="7" t="s">
        <v>23</v>
      </c>
      <c r="M73" s="11" t="s">
        <v>140</v>
      </c>
      <c r="N73" s="11" t="s">
        <v>136</v>
      </c>
      <c r="O73" s="11">
        <v>38</v>
      </c>
      <c r="P73">
        <v>4</v>
      </c>
      <c r="Q73" s="2">
        <v>1898</v>
      </c>
      <c r="R73" s="2">
        <v>3375</v>
      </c>
      <c r="S73" s="2">
        <v>5908</v>
      </c>
      <c r="T73" s="2">
        <f t="shared" si="2"/>
        <v>7592</v>
      </c>
      <c r="U73" s="2">
        <f t="shared" si="3"/>
        <v>13500</v>
      </c>
    </row>
    <row r="74" spans="1:21" x14ac:dyDescent="0.35">
      <c r="A74" s="3" t="s">
        <v>116</v>
      </c>
      <c r="B74" s="1">
        <v>44550</v>
      </c>
      <c r="C74">
        <v>20</v>
      </c>
      <c r="D74" t="s">
        <v>18</v>
      </c>
      <c r="E74">
        <v>2021</v>
      </c>
      <c r="F74">
        <v>57</v>
      </c>
      <c r="G74" s="4" t="s">
        <v>19</v>
      </c>
      <c r="H74" t="s">
        <v>144</v>
      </c>
      <c r="I74" t="s">
        <v>29</v>
      </c>
      <c r="J74" s="9" t="s">
        <v>42</v>
      </c>
      <c r="K74" s="7" t="s">
        <v>22</v>
      </c>
      <c r="L74" s="7" t="s">
        <v>23</v>
      </c>
      <c r="M74" s="11" t="s">
        <v>135</v>
      </c>
      <c r="N74" s="11" t="s">
        <v>136</v>
      </c>
      <c r="O74" s="11">
        <v>46</v>
      </c>
      <c r="P74">
        <v>4</v>
      </c>
      <c r="Q74" s="2">
        <v>1252</v>
      </c>
      <c r="R74" s="2">
        <v>2295</v>
      </c>
      <c r="S74" s="2">
        <v>4172</v>
      </c>
      <c r="T74" s="2">
        <f t="shared" si="2"/>
        <v>5008</v>
      </c>
      <c r="U74" s="2">
        <f t="shared" si="3"/>
        <v>9180</v>
      </c>
    </row>
    <row r="75" spans="1:21" x14ac:dyDescent="0.35">
      <c r="A75" s="3" t="s">
        <v>117</v>
      </c>
      <c r="B75" s="1">
        <v>44550</v>
      </c>
      <c r="C75">
        <v>20</v>
      </c>
      <c r="D75" t="s">
        <v>18</v>
      </c>
      <c r="E75">
        <v>2021</v>
      </c>
      <c r="F75">
        <v>29</v>
      </c>
      <c r="G75" s="4" t="s">
        <v>28</v>
      </c>
      <c r="H75" t="s">
        <v>144</v>
      </c>
      <c r="I75" t="s">
        <v>46</v>
      </c>
      <c r="J75" s="9" t="s">
        <v>47</v>
      </c>
      <c r="K75" s="7" t="s">
        <v>22</v>
      </c>
      <c r="L75" s="7" t="s">
        <v>23</v>
      </c>
      <c r="M75" s="11" t="s">
        <v>139</v>
      </c>
      <c r="N75" s="11" t="s">
        <v>136</v>
      </c>
      <c r="O75" s="11">
        <v>52</v>
      </c>
      <c r="P75">
        <v>3</v>
      </c>
      <c r="Q75" s="2">
        <v>295</v>
      </c>
      <c r="R75" s="2">
        <v>540</v>
      </c>
      <c r="S75" s="2">
        <v>735</v>
      </c>
      <c r="T75" s="2">
        <f t="shared" si="2"/>
        <v>885</v>
      </c>
      <c r="U75" s="2">
        <f t="shared" si="3"/>
        <v>1620</v>
      </c>
    </row>
    <row r="76" spans="1:21" x14ac:dyDescent="0.35">
      <c r="A76" s="3" t="s">
        <v>118</v>
      </c>
      <c r="B76" s="1">
        <v>44550</v>
      </c>
      <c r="C76">
        <v>20</v>
      </c>
      <c r="D76" t="s">
        <v>18</v>
      </c>
      <c r="E76">
        <v>2021</v>
      </c>
      <c r="F76">
        <v>35</v>
      </c>
      <c r="G76" s="4" t="s">
        <v>19</v>
      </c>
      <c r="H76" t="s">
        <v>145</v>
      </c>
      <c r="I76" t="s">
        <v>29</v>
      </c>
      <c r="J76" s="9" t="s">
        <v>42</v>
      </c>
      <c r="K76" s="7" t="s">
        <v>22</v>
      </c>
      <c r="L76" s="7" t="s">
        <v>23</v>
      </c>
      <c r="M76" s="11" t="s">
        <v>135</v>
      </c>
      <c r="N76" s="11" t="s">
        <v>137</v>
      </c>
      <c r="O76" s="11">
        <v>38</v>
      </c>
      <c r="P76">
        <v>1</v>
      </c>
      <c r="Q76" s="2">
        <v>1266</v>
      </c>
      <c r="R76" s="2">
        <v>2320</v>
      </c>
      <c r="S76" s="2">
        <v>1054</v>
      </c>
      <c r="T76" s="2">
        <f t="shared" si="2"/>
        <v>1266</v>
      </c>
      <c r="U76" s="2">
        <f t="shared" si="3"/>
        <v>2320</v>
      </c>
    </row>
    <row r="77" spans="1:21" x14ac:dyDescent="0.35">
      <c r="A77" s="3" t="s">
        <v>119</v>
      </c>
      <c r="B77" s="1">
        <v>44550</v>
      </c>
      <c r="C77">
        <v>20</v>
      </c>
      <c r="D77" t="s">
        <v>18</v>
      </c>
      <c r="E77">
        <v>2021</v>
      </c>
      <c r="F77">
        <v>35</v>
      </c>
      <c r="G77" s="4" t="s">
        <v>19</v>
      </c>
      <c r="H77" t="s">
        <v>144</v>
      </c>
      <c r="I77" t="s">
        <v>29</v>
      </c>
      <c r="J77" s="9" t="s">
        <v>58</v>
      </c>
      <c r="K77" s="7" t="s">
        <v>22</v>
      </c>
      <c r="L77" s="7" t="s">
        <v>23</v>
      </c>
      <c r="M77" s="11" t="s">
        <v>135</v>
      </c>
      <c r="N77" s="11" t="s">
        <v>137</v>
      </c>
      <c r="O77" s="11">
        <v>38</v>
      </c>
      <c r="P77">
        <v>1</v>
      </c>
      <c r="Q77" s="2">
        <v>1266</v>
      </c>
      <c r="R77" s="2">
        <v>2320</v>
      </c>
      <c r="S77" s="2">
        <v>1054</v>
      </c>
      <c r="T77" s="2">
        <f t="shared" si="2"/>
        <v>1266</v>
      </c>
      <c r="U77" s="2">
        <f t="shared" si="3"/>
        <v>2320</v>
      </c>
    </row>
    <row r="78" spans="1:21" x14ac:dyDescent="0.35">
      <c r="A78" s="3" t="s">
        <v>120</v>
      </c>
      <c r="B78" s="1">
        <v>44551</v>
      </c>
      <c r="C78">
        <v>21</v>
      </c>
      <c r="D78" t="s">
        <v>18</v>
      </c>
      <c r="E78">
        <v>2021</v>
      </c>
      <c r="F78">
        <v>26</v>
      </c>
      <c r="G78" s="4" t="s">
        <v>28</v>
      </c>
      <c r="H78" t="s">
        <v>144</v>
      </c>
      <c r="I78" t="s">
        <v>68</v>
      </c>
      <c r="J78" s="9" t="s">
        <v>121</v>
      </c>
      <c r="K78" s="7" t="s">
        <v>22</v>
      </c>
      <c r="L78" s="7" t="s">
        <v>23</v>
      </c>
      <c r="M78" s="11" t="s">
        <v>135</v>
      </c>
      <c r="N78" s="11" t="s">
        <v>137</v>
      </c>
      <c r="O78" s="11">
        <v>38</v>
      </c>
      <c r="P78">
        <v>3</v>
      </c>
      <c r="Q78" s="2">
        <v>1266</v>
      </c>
      <c r="R78" s="2">
        <v>2320</v>
      </c>
      <c r="S78" s="2">
        <v>3162</v>
      </c>
      <c r="T78" s="2">
        <f t="shared" si="2"/>
        <v>3798</v>
      </c>
      <c r="U78" s="2">
        <f t="shared" si="3"/>
        <v>6960</v>
      </c>
    </row>
    <row r="79" spans="1:21" x14ac:dyDescent="0.35">
      <c r="A79" s="3" t="s">
        <v>122</v>
      </c>
      <c r="B79" s="1">
        <v>44551</v>
      </c>
      <c r="C79">
        <v>21</v>
      </c>
      <c r="D79" t="s">
        <v>18</v>
      </c>
      <c r="E79">
        <v>2021</v>
      </c>
      <c r="F79">
        <v>23</v>
      </c>
      <c r="G79" s="4" t="s">
        <v>33</v>
      </c>
      <c r="H79" t="s">
        <v>144</v>
      </c>
      <c r="I79" t="s">
        <v>24</v>
      </c>
      <c r="J79" s="9" t="s">
        <v>25</v>
      </c>
      <c r="K79" s="7" t="s">
        <v>22</v>
      </c>
      <c r="L79" s="7" t="s">
        <v>23</v>
      </c>
      <c r="M79" s="11" t="s">
        <v>138</v>
      </c>
      <c r="N79" s="11" t="s">
        <v>137</v>
      </c>
      <c r="O79" s="11">
        <v>46</v>
      </c>
      <c r="P79">
        <v>2</v>
      </c>
      <c r="Q79" s="2">
        <v>420</v>
      </c>
      <c r="R79" s="2">
        <v>769</v>
      </c>
      <c r="S79" s="2">
        <v>698</v>
      </c>
      <c r="T79" s="2">
        <f t="shared" si="2"/>
        <v>840</v>
      </c>
      <c r="U79" s="2">
        <f t="shared" si="3"/>
        <v>1538</v>
      </c>
    </row>
    <row r="80" spans="1:21" x14ac:dyDescent="0.35">
      <c r="A80" s="3" t="s">
        <v>123</v>
      </c>
      <c r="B80" s="1">
        <v>44552</v>
      </c>
      <c r="C80">
        <v>22</v>
      </c>
      <c r="D80" t="s">
        <v>18</v>
      </c>
      <c r="E80">
        <v>2021</v>
      </c>
      <c r="F80">
        <v>30</v>
      </c>
      <c r="G80" s="4" t="s">
        <v>28</v>
      </c>
      <c r="H80" t="s">
        <v>145</v>
      </c>
      <c r="I80" t="s">
        <v>20</v>
      </c>
      <c r="J80" s="9" t="s">
        <v>35</v>
      </c>
      <c r="K80" s="7" t="s">
        <v>22</v>
      </c>
      <c r="L80" s="7" t="s">
        <v>23</v>
      </c>
      <c r="M80" s="11" t="s">
        <v>135</v>
      </c>
      <c r="N80" s="11" t="s">
        <v>137</v>
      </c>
      <c r="O80" s="11">
        <v>38</v>
      </c>
      <c r="P80">
        <v>3</v>
      </c>
      <c r="Q80" s="2">
        <v>1266</v>
      </c>
      <c r="R80" s="2">
        <v>2320</v>
      </c>
      <c r="S80" s="2">
        <v>3162</v>
      </c>
      <c r="T80" s="2">
        <f t="shared" si="2"/>
        <v>3798</v>
      </c>
      <c r="U80" s="2">
        <f t="shared" si="3"/>
        <v>6960</v>
      </c>
    </row>
    <row r="81" spans="1:21" x14ac:dyDescent="0.35">
      <c r="A81" s="3" t="s">
        <v>124</v>
      </c>
      <c r="B81" s="1">
        <v>44552</v>
      </c>
      <c r="C81">
        <v>22</v>
      </c>
      <c r="D81" t="s">
        <v>18</v>
      </c>
      <c r="E81">
        <v>2021</v>
      </c>
      <c r="F81">
        <v>41</v>
      </c>
      <c r="G81" s="4" t="s">
        <v>19</v>
      </c>
      <c r="H81" t="s">
        <v>144</v>
      </c>
      <c r="I81" t="s">
        <v>20</v>
      </c>
      <c r="J81" s="9" t="s">
        <v>21</v>
      </c>
      <c r="K81" s="7" t="s">
        <v>22</v>
      </c>
      <c r="L81" s="7" t="s">
        <v>23</v>
      </c>
      <c r="M81" s="11" t="s">
        <v>135</v>
      </c>
      <c r="N81" s="11" t="s">
        <v>136</v>
      </c>
      <c r="O81" s="11">
        <v>42</v>
      </c>
      <c r="P81">
        <v>3</v>
      </c>
      <c r="Q81" s="2">
        <v>1252</v>
      </c>
      <c r="R81" s="2">
        <v>2295</v>
      </c>
      <c r="S81" s="2">
        <v>3129</v>
      </c>
      <c r="T81" s="2">
        <f t="shared" si="2"/>
        <v>3756</v>
      </c>
      <c r="U81" s="2">
        <f t="shared" si="3"/>
        <v>6885</v>
      </c>
    </row>
    <row r="82" spans="1:21" x14ac:dyDescent="0.35">
      <c r="A82" s="3" t="s">
        <v>125</v>
      </c>
      <c r="B82" s="1">
        <v>44552</v>
      </c>
      <c r="C82">
        <v>22</v>
      </c>
      <c r="D82" t="s">
        <v>18</v>
      </c>
      <c r="E82">
        <v>2021</v>
      </c>
      <c r="F82">
        <v>19</v>
      </c>
      <c r="G82" s="4" t="s">
        <v>33</v>
      </c>
      <c r="H82" t="s">
        <v>145</v>
      </c>
      <c r="I82" t="s">
        <v>29</v>
      </c>
      <c r="J82" s="9" t="s">
        <v>30</v>
      </c>
      <c r="K82" s="7" t="s">
        <v>22</v>
      </c>
      <c r="L82" s="7" t="s">
        <v>23</v>
      </c>
      <c r="M82" s="11" t="s">
        <v>139</v>
      </c>
      <c r="N82" s="11" t="s">
        <v>137</v>
      </c>
      <c r="O82" s="11">
        <v>42</v>
      </c>
      <c r="P82">
        <v>1</v>
      </c>
      <c r="Q82" s="2">
        <v>308</v>
      </c>
      <c r="R82" s="2">
        <v>565</v>
      </c>
      <c r="S82" s="2">
        <v>257</v>
      </c>
      <c r="T82" s="2">
        <f t="shared" si="2"/>
        <v>308</v>
      </c>
      <c r="U82" s="2">
        <f t="shared" si="3"/>
        <v>565</v>
      </c>
    </row>
    <row r="83" spans="1:21" x14ac:dyDescent="0.35">
      <c r="A83" s="3" t="s">
        <v>126</v>
      </c>
      <c r="B83" s="1">
        <v>44552</v>
      </c>
      <c r="C83">
        <v>22</v>
      </c>
      <c r="D83" t="s">
        <v>18</v>
      </c>
      <c r="E83">
        <v>2021</v>
      </c>
      <c r="F83">
        <v>25</v>
      </c>
      <c r="G83" s="4" t="s">
        <v>28</v>
      </c>
      <c r="H83" t="s">
        <v>144</v>
      </c>
      <c r="I83" t="s">
        <v>68</v>
      </c>
      <c r="J83" s="9" t="s">
        <v>69</v>
      </c>
      <c r="K83" s="7" t="s">
        <v>22</v>
      </c>
      <c r="L83" s="7" t="s">
        <v>23</v>
      </c>
      <c r="M83" s="11" t="s">
        <v>135</v>
      </c>
      <c r="N83" s="11" t="s">
        <v>136</v>
      </c>
      <c r="O83" s="11">
        <v>38</v>
      </c>
      <c r="P83">
        <v>1</v>
      </c>
      <c r="Q83" s="2">
        <v>1252</v>
      </c>
      <c r="R83" s="2">
        <v>2295</v>
      </c>
      <c r="S83" s="2">
        <v>1043</v>
      </c>
      <c r="T83" s="2">
        <f t="shared" si="2"/>
        <v>1252</v>
      </c>
      <c r="U83" s="2">
        <f t="shared" si="3"/>
        <v>2295</v>
      </c>
    </row>
    <row r="84" spans="1:21" x14ac:dyDescent="0.35">
      <c r="A84" s="3" t="s">
        <v>127</v>
      </c>
      <c r="B84" s="1">
        <v>44552</v>
      </c>
      <c r="C84">
        <v>22</v>
      </c>
      <c r="D84" t="s">
        <v>18</v>
      </c>
      <c r="E84">
        <v>2021</v>
      </c>
      <c r="F84">
        <v>27</v>
      </c>
      <c r="G84" s="4" t="s">
        <v>28</v>
      </c>
      <c r="H84" t="s">
        <v>145</v>
      </c>
      <c r="I84" t="s">
        <v>46</v>
      </c>
      <c r="J84" s="9" t="s">
        <v>47</v>
      </c>
      <c r="K84" s="7" t="s">
        <v>22</v>
      </c>
      <c r="L84" s="7" t="s">
        <v>23</v>
      </c>
      <c r="M84" s="11" t="s">
        <v>135</v>
      </c>
      <c r="N84" s="11" t="s">
        <v>136</v>
      </c>
      <c r="O84" s="11">
        <v>46</v>
      </c>
      <c r="P84">
        <v>1</v>
      </c>
      <c r="Q84" s="2">
        <v>1252</v>
      </c>
      <c r="R84" s="2">
        <v>2295</v>
      </c>
      <c r="S84" s="2">
        <v>1043</v>
      </c>
      <c r="T84" s="2">
        <f t="shared" si="2"/>
        <v>1252</v>
      </c>
      <c r="U84" s="2">
        <f t="shared" si="3"/>
        <v>2295</v>
      </c>
    </row>
    <row r="85" spans="1:21" x14ac:dyDescent="0.35">
      <c r="A85" s="3" t="s">
        <v>128</v>
      </c>
      <c r="B85" s="1">
        <v>44552</v>
      </c>
      <c r="C85">
        <v>22</v>
      </c>
      <c r="D85" t="s">
        <v>18</v>
      </c>
      <c r="E85">
        <v>2021</v>
      </c>
      <c r="F85">
        <v>41</v>
      </c>
      <c r="G85" s="4" t="s">
        <v>19</v>
      </c>
      <c r="H85" t="s">
        <v>144</v>
      </c>
      <c r="I85" t="s">
        <v>39</v>
      </c>
      <c r="J85" s="9" t="s">
        <v>113</v>
      </c>
      <c r="K85" s="7" t="s">
        <v>22</v>
      </c>
      <c r="L85" s="7" t="s">
        <v>23</v>
      </c>
      <c r="M85" s="11" t="s">
        <v>135</v>
      </c>
      <c r="N85" s="11" t="s">
        <v>137</v>
      </c>
      <c r="O85" s="11">
        <v>38</v>
      </c>
      <c r="P85">
        <v>1</v>
      </c>
      <c r="Q85" s="2">
        <v>1266</v>
      </c>
      <c r="R85" s="2">
        <v>2320</v>
      </c>
      <c r="S85" s="2">
        <v>1054</v>
      </c>
      <c r="T85" s="2">
        <f t="shared" si="2"/>
        <v>1266</v>
      </c>
      <c r="U85" s="2">
        <f t="shared" si="3"/>
        <v>2320</v>
      </c>
    </row>
    <row r="86" spans="1:21" x14ac:dyDescent="0.35">
      <c r="A86" s="3" t="s">
        <v>129</v>
      </c>
      <c r="B86" s="1">
        <v>44553</v>
      </c>
      <c r="C86">
        <v>23</v>
      </c>
      <c r="D86" t="s">
        <v>18</v>
      </c>
      <c r="E86">
        <v>2021</v>
      </c>
      <c r="F86">
        <v>30</v>
      </c>
      <c r="G86" s="4" t="s">
        <v>28</v>
      </c>
      <c r="H86" t="s">
        <v>145</v>
      </c>
      <c r="I86" t="s">
        <v>20</v>
      </c>
      <c r="J86" s="9" t="s">
        <v>55</v>
      </c>
      <c r="K86" s="7" t="s">
        <v>22</v>
      </c>
      <c r="L86" s="7" t="s">
        <v>23</v>
      </c>
      <c r="M86" s="11" t="s">
        <v>135</v>
      </c>
      <c r="N86" s="11" t="s">
        <v>137</v>
      </c>
      <c r="O86" s="11">
        <v>42</v>
      </c>
      <c r="P86">
        <v>1</v>
      </c>
      <c r="Q86" s="2">
        <v>1266</v>
      </c>
      <c r="R86" s="2">
        <v>2320</v>
      </c>
      <c r="S86" s="2">
        <v>1054</v>
      </c>
      <c r="T86" s="2">
        <f t="shared" si="2"/>
        <v>1266</v>
      </c>
      <c r="U86" s="2">
        <f t="shared" si="3"/>
        <v>2320</v>
      </c>
    </row>
    <row r="87" spans="1:21" x14ac:dyDescent="0.35">
      <c r="A87" s="3" t="s">
        <v>130</v>
      </c>
      <c r="B87" s="1">
        <v>44553</v>
      </c>
      <c r="C87">
        <v>23</v>
      </c>
      <c r="D87" t="s">
        <v>18</v>
      </c>
      <c r="E87">
        <v>2021</v>
      </c>
      <c r="F87">
        <v>31</v>
      </c>
      <c r="G87" s="4" t="s">
        <v>28</v>
      </c>
      <c r="H87" t="s">
        <v>145</v>
      </c>
      <c r="I87" t="s">
        <v>46</v>
      </c>
      <c r="J87" s="9" t="s">
        <v>47</v>
      </c>
      <c r="K87" s="7" t="s">
        <v>22</v>
      </c>
      <c r="L87" s="7" t="s">
        <v>23</v>
      </c>
      <c r="M87" s="11" t="s">
        <v>135</v>
      </c>
      <c r="N87" s="11" t="s">
        <v>136</v>
      </c>
      <c r="O87" s="11">
        <v>42</v>
      </c>
      <c r="P87">
        <v>1</v>
      </c>
      <c r="Q87" s="2">
        <v>1252</v>
      </c>
      <c r="R87" s="2">
        <v>2295</v>
      </c>
      <c r="S87" s="2">
        <v>1043</v>
      </c>
      <c r="T87" s="2">
        <f t="shared" si="2"/>
        <v>1252</v>
      </c>
      <c r="U87" s="2">
        <f t="shared" si="3"/>
        <v>2295</v>
      </c>
    </row>
    <row r="88" spans="1:21" x14ac:dyDescent="0.35">
      <c r="A88" s="3" t="s">
        <v>131</v>
      </c>
      <c r="B88" s="1">
        <v>44553</v>
      </c>
      <c r="C88">
        <v>23</v>
      </c>
      <c r="D88" t="s">
        <v>18</v>
      </c>
      <c r="E88">
        <v>2021</v>
      </c>
      <c r="F88">
        <v>35</v>
      </c>
      <c r="G88" s="4" t="s">
        <v>19</v>
      </c>
      <c r="H88" t="s">
        <v>145</v>
      </c>
      <c r="I88" t="s">
        <v>20</v>
      </c>
      <c r="J88" s="9" t="s">
        <v>21</v>
      </c>
      <c r="K88" s="7" t="s">
        <v>22</v>
      </c>
      <c r="L88" s="7" t="s">
        <v>23</v>
      </c>
      <c r="M88" s="11" t="s">
        <v>139</v>
      </c>
      <c r="N88" s="11" t="s">
        <v>136</v>
      </c>
      <c r="O88" s="11">
        <v>42</v>
      </c>
      <c r="P88">
        <v>1</v>
      </c>
      <c r="Q88" s="2">
        <v>295</v>
      </c>
      <c r="R88" s="2">
        <v>540</v>
      </c>
      <c r="S88" s="2">
        <v>245</v>
      </c>
      <c r="T88" s="2">
        <f t="shared" si="2"/>
        <v>295</v>
      </c>
      <c r="U88" s="2">
        <f t="shared" si="3"/>
        <v>540</v>
      </c>
    </row>
    <row r="89" spans="1:21" x14ac:dyDescent="0.35">
      <c r="A89" s="3" t="s">
        <v>132</v>
      </c>
      <c r="B89" s="1">
        <v>44554</v>
      </c>
      <c r="C89">
        <v>24</v>
      </c>
      <c r="D89" t="s">
        <v>18</v>
      </c>
      <c r="E89">
        <v>2021</v>
      </c>
      <c r="F89">
        <v>38</v>
      </c>
      <c r="G89" s="4" t="s">
        <v>19</v>
      </c>
      <c r="H89" t="s">
        <v>144</v>
      </c>
      <c r="I89" t="s">
        <v>29</v>
      </c>
      <c r="J89" s="9" t="s">
        <v>42</v>
      </c>
      <c r="K89" s="7" t="s">
        <v>22</v>
      </c>
      <c r="L89" s="7" t="s">
        <v>23</v>
      </c>
      <c r="M89" s="11" t="s">
        <v>135</v>
      </c>
      <c r="N89" s="11" t="s">
        <v>136</v>
      </c>
      <c r="O89" s="11">
        <v>42</v>
      </c>
      <c r="P89">
        <v>4</v>
      </c>
      <c r="Q89" s="2">
        <v>1252</v>
      </c>
      <c r="R89" s="2">
        <v>2295</v>
      </c>
      <c r="S89" s="2">
        <v>4172</v>
      </c>
      <c r="T89" s="2">
        <f t="shared" si="2"/>
        <v>5008</v>
      </c>
      <c r="U89" s="2">
        <f t="shared" si="3"/>
        <v>9180</v>
      </c>
    </row>
  </sheetData>
  <phoneticPr fontId="18" type="noConversion"/>
  <conditionalFormatting sqref="A1:A1048576">
    <cfRule type="duplicateValues" dxfId="10" priority="4"/>
  </conditionalFormatting>
  <conditionalFormatting sqref="Q1:R89">
    <cfRule type="cellIs" dxfId="9" priority="1" operator="equal">
      <formula>0</formula>
    </cfRule>
    <cfRule type="cellIs" dxfId="8" priority="2" operator="equal">
      <formula>"$0.00 "</formula>
    </cfRule>
    <cfRule type="cellIs" dxfId="7" priority="3" operator="equal">
      <formula>"$0"</formula>
    </cfRule>
  </conditionalFormatting>
  <pageMargins left="0.7" right="0.7" top="0.75" bottom="0.75" header="0.3" footer="0.3"/>
  <pageSetup paperSize="9" orientation="portrait" r:id="rId1"/>
  <ignoredErrors>
    <ignoredError sqref="A2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item1.xml>��
</file>

<file path=customXml/item2.xml>��
</file>

<file path=customXml/item3.xml>��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98F9F34832A35489A19D5E200F54CC8" ma:contentTypeVersion="17" ma:contentTypeDescription="Create a new document." ma:contentTypeScope="" ma:versionID="4667fbbc43b4318bb111874a548e13d5">
  <xsd:schema xmlns:xsd="http://www.w3.org/2001/XMLSchema" xmlns:xs="http://www.w3.org/2001/XMLSchema" xmlns:p="http://schemas.microsoft.com/office/2006/metadata/properties" xmlns:ns2="6cf0ffbd-cd96-4ba4-bd4f-bd34e8409846" xmlns:ns3="ef7ae401-bd17-41a5-97cb-ef653218410e" targetNamespace="http://schemas.microsoft.com/office/2006/metadata/properties" ma:root="true" ma:fieldsID="750e449e756990df47b00428a15370bb" ns2:_="" ns3:_="">
    <xsd:import namespace="6cf0ffbd-cd96-4ba4-bd4f-bd34e8409846"/>
    <xsd:import namespace="ef7ae401-bd17-41a5-97cb-ef653218410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OCR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3:TaxCatchAll" minOccurs="0"/>
                <xsd:element ref="ns2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cf0ffbd-cd96-4ba4-bd4f-bd34e840984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710261dd-85c0-4e16-8580-30375acfae1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f7ae401-bd17-41a5-97cb-ef653218410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caefe5af-a435-4393-a14b-6f721e236a53}" ma:internalName="TaxCatchAll" ma:showField="CatchAllData" ma:web="ef7ae401-bd17-41a5-97cb-ef653218410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5.xml>��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cf0ffbd-cd96-4ba4-bd4f-bd34e8409846">
      <Terms xmlns="http://schemas.microsoft.com/office/infopath/2007/PartnerControls"/>
    </lcf76f155ced4ddcb4097134ff3c332f>
    <TaxCatchAll xmlns="ef7ae401-bd17-41a5-97cb-ef653218410e" xsi:nil="true"/>
  </documentManagement>
</p:properties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Props1.xml><?xml version="1.0" encoding="utf-8"?>
<ds:datastoreItem xmlns:ds="http://schemas.openxmlformats.org/officeDocument/2006/customXml" ds:itemID="{4CD31065-57D3-4405-9999-099239023872}">
  <ds:schemaRefs/>
</ds:datastoreItem>
</file>

<file path=customXml/itemProps2.xml><?xml version="1.0" encoding="utf-8"?>
<ds:datastoreItem xmlns:ds="http://schemas.openxmlformats.org/officeDocument/2006/customXml" ds:itemID="{FC25041A-2173-4C7E-A129-DFFFD7E40C53}">
  <ds:schemaRefs/>
</ds:datastoreItem>
</file>

<file path=customXml/itemProps3.xml><?xml version="1.0" encoding="utf-8"?>
<ds:datastoreItem xmlns:ds="http://schemas.openxmlformats.org/officeDocument/2006/customXml" ds:itemID="{46EAF07B-F808-485A-94AF-52C791738405}">
  <ds:schemaRefs/>
</ds:datastoreItem>
</file>

<file path=customXml/itemProps4.xml><?xml version="1.0" encoding="utf-8"?>
<ds:datastoreItem xmlns:ds="http://schemas.openxmlformats.org/officeDocument/2006/customXml" ds:itemID="{700A3249-61A6-4732-B467-CFA4F502C1D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cf0ffbd-cd96-4ba4-bd4f-bd34e8409846"/>
    <ds:schemaRef ds:uri="ef7ae401-bd17-41a5-97cb-ef653218410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5.xml><?xml version="1.0" encoding="utf-8"?>
<ds:datastoreItem xmlns:ds="http://schemas.openxmlformats.org/officeDocument/2006/customXml" ds:itemID="{84D30545-2848-4856-9D24-E9EC6526E129}">
  <ds:schemaRefs/>
</ds:datastoreItem>
</file>

<file path=customXml/itemProps6.xml><?xml version="1.0" encoding="utf-8"?>
<ds:datastoreItem xmlns:ds="http://schemas.openxmlformats.org/officeDocument/2006/customXml" ds:itemID="{B0E83AF8-2C50-4089-9716-0DC4D6C9EB5B}">
  <ds:schemaRefs>
    <ds:schemaRef ds:uri="6cf0ffbd-cd96-4ba4-bd4f-bd34e8409846"/>
    <ds:schemaRef ds:uri="http://purl.org/dc/terms/"/>
    <ds:schemaRef ds:uri="http://www.w3.org/XML/1998/namespace"/>
    <ds:schemaRef ds:uri="http://purl.org/dc/dcmitype/"/>
    <ds:schemaRef ds:uri="http://schemas.microsoft.com/office/infopath/2007/PartnerControls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ef7ae401-bd17-41a5-97cb-ef653218410e"/>
    <ds:schemaRef ds:uri="http://schemas.microsoft.com/office/2006/metadata/properties"/>
  </ds:schemaRefs>
</ds:datastoreItem>
</file>

<file path=customXml/itemProps7.xml><?xml version="1.0" encoding="utf-8"?>
<ds:datastoreItem xmlns:ds="http://schemas.openxmlformats.org/officeDocument/2006/customXml" ds:itemID="{91E8F2CE-1580-4EAC-B311-BE97DB53F80C}">
  <ds:schemaRefs/>
</ds:datastoreItem>
</file>

<file path=customXml/itemProps8.xml><?xml version="1.0" encoding="utf-8"?>
<ds:datastoreItem xmlns:ds="http://schemas.openxmlformats.org/officeDocument/2006/customXml" ds:itemID="{05A3D4BF-99D3-49CD-8416-B1C70B7016EE}">
  <ds:schemaRefs/>
</ds:datastoreItem>
</file>

<file path=customXml/itemProps9.xml><?xml version="1.0" encoding="utf-8"?>
<ds:datastoreItem xmlns:ds="http://schemas.openxmlformats.org/officeDocument/2006/customXml" ds:itemID="{2B92AE21-1704-42BC-9817-1F4ADF088ED4}">
  <ds:schemaRefs>
    <ds:schemaRef ds:uri="http://www.w3.org/2001/XMLSchema"/>
    <ds:schemaRef ds:uri="http://microsoft.data.visualization.Client.Excel/1.0"/>
  </ds:schemaRefs>
</ds:datastoreItem>
</file>

<file path=customXml/itemProps10.xml><?xml version="1.0" encoding="utf-8"?>
<ds:datastoreItem xmlns:ds="http://schemas.openxmlformats.org/officeDocument/2006/customXml" ds:itemID="{202E27E9-AFDF-44F6-AA03-78EB56F4D9C2}">
  <ds:schemaRefs/>
</ds:datastoreItem>
</file>

<file path=customXml/itemProps11.xml><?xml version="1.0" encoding="utf-8"?>
<ds:datastoreItem xmlns:ds="http://schemas.openxmlformats.org/officeDocument/2006/customXml" ds:itemID="{1D71D796-EB70-4A72-93C1-B7A5D98AB4F7}">
  <ds:schemaRefs>
    <ds:schemaRef ds:uri="http://www.w3.org/2001/XMLSchema"/>
    <ds:schemaRef ds:uri="http://microsoft.data.visualization.engine.tours/1.0"/>
  </ds:schemaRefs>
</ds:datastoreItem>
</file>

<file path=customXml/itemProps12.xml><?xml version="1.0" encoding="utf-8"?>
<ds:datastoreItem xmlns:ds="http://schemas.openxmlformats.org/officeDocument/2006/customXml" ds:itemID="{6A77C7D5-983C-4B15-A63B-38F48A7EACDF}">
  <ds:schemaRefs>
    <ds:schemaRef ds:uri="http://schemas.microsoft.com/sharepoint/v3/contenttype/forms"/>
  </ds:schemaRefs>
</ds:datastoreItem>
</file>

<file path=customXml/itemProps13.xml><?xml version="1.0" encoding="utf-8"?>
<ds:datastoreItem xmlns:ds="http://schemas.openxmlformats.org/officeDocument/2006/customXml" ds:itemID="{4FCFE625-DFF4-44F3-8FA7-7D2832516080}">
  <ds:schemaRefs/>
</ds:datastoreItem>
</file>

<file path=customXml/itemProps14.xml><?xml version="1.0" encoding="utf-8"?>
<ds:datastoreItem xmlns:ds="http://schemas.openxmlformats.org/officeDocument/2006/customXml" ds:itemID="{1369B5ED-6C3D-446F-8A3D-29FA22DB37A5}">
  <ds:schemaRefs/>
</ds:datastoreItem>
</file>

<file path=customXml/itemProps15.xml><?xml version="1.0" encoding="utf-8"?>
<ds:datastoreItem xmlns:ds="http://schemas.openxmlformats.org/officeDocument/2006/customXml" ds:itemID="{35B48C56-4A61-41A5-9E00-BF0ED214265C}">
  <ds:schemaRefs>
    <ds:schemaRef ds:uri="http://schemas.microsoft.com/DataMashup"/>
  </ds:schemaRefs>
</ds:datastoreItem>
</file>

<file path=customXml/itemProps16.xml><?xml version="1.0" encoding="utf-8"?>
<ds:datastoreItem xmlns:ds="http://schemas.openxmlformats.org/officeDocument/2006/customXml" ds:itemID="{6522405E-1A46-4873-983D-0A585AD8CEA6}">
  <ds:schemaRefs/>
</ds:datastoreItem>
</file>

<file path=customXml/itemProps17.xml><?xml version="1.0" encoding="utf-8"?>
<ds:datastoreItem xmlns:ds="http://schemas.openxmlformats.org/officeDocument/2006/customXml" ds:itemID="{951A4FD9-630D-4B9E-A44F-D657161062DF}">
  <ds:schemaRefs/>
</ds:datastoreItem>
</file>

<file path=customXml/itemProps18.xml><?xml version="1.0" encoding="utf-8"?>
<ds:datastoreItem xmlns:ds="http://schemas.openxmlformats.org/officeDocument/2006/customXml" ds:itemID="{1A9CC3C6-5144-4F05-A934-ADC6B2D45B9C}">
  <ds:schemaRefs/>
</ds:datastoreItem>
</file>

<file path=customXml/itemProps19.xml><?xml version="1.0" encoding="utf-8"?>
<ds:datastoreItem xmlns:ds="http://schemas.openxmlformats.org/officeDocument/2006/customXml" ds:itemID="{7EDAEFE6-9D6A-44A7-A030-1A1D0DA1D321}">
  <ds:schemaRefs/>
</ds:datastoreItem>
</file>

<file path=customXml/itemProps20.xml><?xml version="1.0" encoding="utf-8"?>
<ds:datastoreItem xmlns:ds="http://schemas.openxmlformats.org/officeDocument/2006/customXml" ds:itemID="{B1C33366-C9D9-424C-B553-DC640E21C164}">
  <ds:schemaRefs/>
</ds:datastoreItem>
</file>

<file path=customXml/itemProps21.xml><?xml version="1.0" encoding="utf-8"?>
<ds:datastoreItem xmlns:ds="http://schemas.openxmlformats.org/officeDocument/2006/customXml" ds:itemID="{4D076AFF-C6D5-495E-BECC-30B9B062ECBA}">
  <ds:schemaRefs/>
</ds:datastoreItem>
</file>

<file path=customXml/itemProps22.xml><?xml version="1.0" encoding="utf-8"?>
<ds:datastoreItem xmlns:ds="http://schemas.openxmlformats.org/officeDocument/2006/customXml" ds:itemID="{C5ADC6B0-8B51-4889-9012-675B5E5E9ACD}">
  <ds:schemaRefs/>
</ds:datastoreItem>
</file>

<file path=customXml/itemProps23.xml><?xml version="1.0" encoding="utf-8"?>
<ds:datastoreItem xmlns:ds="http://schemas.openxmlformats.org/officeDocument/2006/customXml" ds:itemID="{7C842907-90A8-43D4-B2C3-73884D0CE754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state_dim</vt:lpstr>
      <vt:lpstr>country_dim</vt:lpstr>
      <vt:lpstr>customer_dim</vt:lpstr>
      <vt:lpstr>sales_fact</vt:lpstr>
      <vt:lpstr>prod_dim</vt:lpstr>
      <vt:lpstr>prod_sim2</vt:lpstr>
      <vt:lpstr>Bike Sales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>Daniella Marcella Callueng</cp:lastModifiedBy>
  <cp:revision/>
  <dcterms:created xsi:type="dcterms:W3CDTF">2022-11-04T20:14:11Z</dcterms:created>
  <dcterms:modified xsi:type="dcterms:W3CDTF">2026-02-20T14:25:13Z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0x010100198F9F34832A35489A19D5E200F54CC8</vt:lpwstr>
  </property>
</Properties>
</file>